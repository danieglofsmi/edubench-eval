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\NLP\EduBench\"/>
    </mc:Choice>
  </mc:AlternateContent>
  <xr:revisionPtr revIDLastSave="0" documentId="8_{88717D94-F756-4C02-ACF5-8C721C21AD4E}" xr6:coauthVersionLast="47" xr6:coauthVersionMax="47" xr10:uidLastSave="{00000000-0000-0000-0000-000000000000}"/>
  <bookViews>
    <workbookView xWindow="-110" yWindow="-110" windowWidth="38620" windowHeight="21100" xr2:uid="{9B19D9DA-7374-4D28-A3C3-D35FD7758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" l="1"/>
  <c r="I36" i="1"/>
  <c r="J36" i="1"/>
  <c r="K36" i="1"/>
  <c r="L36" i="1"/>
  <c r="M36" i="1"/>
  <c r="N36" i="1"/>
  <c r="O36" i="1"/>
  <c r="P36" i="1"/>
  <c r="Q36" i="1"/>
  <c r="H35" i="1"/>
  <c r="I35" i="1"/>
  <c r="J35" i="1"/>
  <c r="K35" i="1"/>
  <c r="L35" i="1"/>
  <c r="M35" i="1"/>
  <c r="N35" i="1"/>
  <c r="O35" i="1"/>
  <c r="P35" i="1"/>
  <c r="Q35" i="1"/>
  <c r="H34" i="1"/>
  <c r="I34" i="1"/>
  <c r="J34" i="1"/>
  <c r="K34" i="1"/>
  <c r="L34" i="1"/>
  <c r="M34" i="1"/>
  <c r="N34" i="1"/>
  <c r="O34" i="1"/>
  <c r="P34" i="1"/>
  <c r="Q34" i="1"/>
  <c r="H33" i="1"/>
  <c r="I33" i="1"/>
  <c r="J33" i="1"/>
  <c r="K33" i="1"/>
  <c r="L33" i="1"/>
  <c r="M33" i="1"/>
  <c r="N33" i="1"/>
  <c r="O33" i="1"/>
  <c r="P33" i="1"/>
  <c r="Q33" i="1"/>
  <c r="H32" i="1"/>
  <c r="I32" i="1"/>
  <c r="J32" i="1"/>
  <c r="K32" i="1"/>
  <c r="L32" i="1"/>
  <c r="M32" i="1"/>
  <c r="N32" i="1"/>
  <c r="O32" i="1"/>
  <c r="P32" i="1"/>
  <c r="Q32" i="1"/>
  <c r="H31" i="1"/>
  <c r="I31" i="1"/>
  <c r="J31" i="1"/>
  <c r="K31" i="1"/>
  <c r="L31" i="1"/>
  <c r="M31" i="1"/>
  <c r="N31" i="1"/>
  <c r="O31" i="1"/>
  <c r="P31" i="1"/>
  <c r="Q31" i="1"/>
  <c r="H30" i="1"/>
  <c r="I30" i="1"/>
  <c r="J30" i="1"/>
  <c r="K30" i="1"/>
  <c r="L30" i="1"/>
  <c r="M30" i="1"/>
  <c r="N30" i="1"/>
  <c r="O30" i="1"/>
  <c r="P30" i="1"/>
  <c r="Q30" i="1"/>
  <c r="G30" i="1"/>
  <c r="H29" i="1"/>
  <c r="I29" i="1"/>
  <c r="J29" i="1"/>
  <c r="K29" i="1"/>
  <c r="L29" i="1"/>
  <c r="M29" i="1"/>
  <c r="N29" i="1"/>
  <c r="O29" i="1"/>
  <c r="P29" i="1"/>
  <c r="Q29" i="1"/>
  <c r="H28" i="1"/>
  <c r="I28" i="1"/>
  <c r="J28" i="1"/>
  <c r="K28" i="1"/>
  <c r="L28" i="1"/>
  <c r="M28" i="1"/>
  <c r="N28" i="1"/>
  <c r="O28" i="1"/>
  <c r="P28" i="1"/>
  <c r="Q28" i="1"/>
  <c r="H27" i="1"/>
  <c r="I27" i="1"/>
  <c r="J27" i="1"/>
  <c r="K27" i="1"/>
  <c r="L27" i="1"/>
  <c r="M27" i="1"/>
  <c r="N27" i="1"/>
  <c r="O27" i="1"/>
  <c r="P27" i="1"/>
  <c r="Q27" i="1"/>
  <c r="H26" i="1"/>
  <c r="I26" i="1"/>
  <c r="J26" i="1"/>
  <c r="K26" i="1"/>
  <c r="L26" i="1"/>
  <c r="M26" i="1"/>
  <c r="N26" i="1"/>
  <c r="O26" i="1"/>
  <c r="P26" i="1"/>
  <c r="Q26" i="1"/>
  <c r="H25" i="1"/>
  <c r="I25" i="1"/>
  <c r="J25" i="1"/>
  <c r="K25" i="1"/>
  <c r="L25" i="1"/>
  <c r="M25" i="1"/>
  <c r="N25" i="1"/>
  <c r="O25" i="1"/>
  <c r="P25" i="1"/>
  <c r="Q25" i="1"/>
  <c r="G26" i="1"/>
  <c r="G27" i="1"/>
  <c r="G28" i="1"/>
  <c r="G29" i="1"/>
  <c r="G31" i="1"/>
  <c r="G32" i="1"/>
  <c r="G33" i="1"/>
  <c r="G34" i="1"/>
  <c r="G35" i="1"/>
  <c r="G36" i="1"/>
  <c r="G25" i="1"/>
  <c r="U37" i="1"/>
  <c r="AD37" i="1" l="1"/>
  <c r="X37" i="1"/>
  <c r="J37" i="1"/>
  <c r="V37" i="1"/>
  <c r="I37" i="1"/>
  <c r="P37" i="1"/>
  <c r="H37" i="1"/>
  <c r="O37" i="1"/>
  <c r="Z37" i="1"/>
  <c r="Y37" i="1"/>
  <c r="L37" i="1"/>
  <c r="W37" i="1"/>
  <c r="G37" i="1"/>
  <c r="Q37" i="1" s="1"/>
  <c r="AC37" i="1"/>
  <c r="AB37" i="1"/>
  <c r="AA37" i="1"/>
  <c r="N37" i="1"/>
  <c r="M37" i="1"/>
  <c r="K37" i="1"/>
</calcChain>
</file>

<file path=xl/sharedStrings.xml><?xml version="1.0" encoding="utf-8"?>
<sst xmlns="http://schemas.openxmlformats.org/spreadsheetml/2006/main" count="120" uniqueCount="39">
  <si>
    <t>human</t>
  </si>
  <si>
    <t>1分</t>
  </si>
  <si>
    <t>2分</t>
  </si>
  <si>
    <t>3分</t>
  </si>
  <si>
    <t>4分</t>
  </si>
  <si>
    <t>5分</t>
  </si>
  <si>
    <t>6分</t>
  </si>
  <si>
    <t>7分</t>
  </si>
  <si>
    <t>8分</t>
  </si>
  <si>
    <t>9分</t>
  </si>
  <si>
    <t>10分</t>
  </si>
  <si>
    <t>总数据量</t>
  </si>
  <si>
    <t>指令遵循与任务完成</t>
  </si>
  <si>
    <t>基础事实准确性</t>
  </si>
  <si>
    <t>内容相关性与范围控制</t>
  </si>
  <si>
    <t>场景要素融合度</t>
  </si>
  <si>
    <t>促进高阶思维与能力发展</t>
  </si>
  <si>
    <t>推理过程严谨性</t>
  </si>
  <si>
    <t>清晰易懂与表达启发</t>
  </si>
  <si>
    <t>个性化适应与学习支持</t>
  </si>
  <si>
    <t>激励引导与积极反馈</t>
  </si>
  <si>
    <t>领域知识专业性</t>
  </si>
  <si>
    <t>错误识别与纠正精确性</t>
  </si>
  <si>
    <t>角色与口吻一致性</t>
  </si>
  <si>
    <t>v3</t>
  </si>
  <si>
    <t>Instruction Following &amp; Task Completion</t>
  </si>
  <si>
    <t>Content Relevance &amp; Scope Control</t>
  </si>
  <si>
    <t>Basic Factual Accuracy</t>
  </si>
  <si>
    <t>Scenario Element Integration</t>
  </si>
  <si>
    <t>Higher-Order Thinking &amp; Skill Development</t>
  </si>
  <si>
    <t>Clarity, Simplicity &amp; Inspiration</t>
  </si>
  <si>
    <t>Reasoning Process Rigor</t>
  </si>
  <si>
    <t>Personalization, Adaptation &amp; Learning Support</t>
  </si>
  <si>
    <t>Domain Knowledge Accuracy</t>
  </si>
  <si>
    <t>Motivation, Guidance &amp; Positive Feedback</t>
  </si>
  <si>
    <t>Role &amp; Tone Consistency</t>
  </si>
  <si>
    <t>Error Identification &amp; Correction Precision</t>
  </si>
  <si>
    <t>all</t>
    <phoneticPr fontId="2" type="noConversion"/>
  </si>
  <si>
    <t>4分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</si>
</sst>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E548-43A4-4798-B73B-ABCB6B467415}">
  <dimension ref="F7:AS38"/>
  <sheetViews>
    <sheetView tabSelected="1" topLeftCell="A28" workbookViewId="0">
      <selection activeCell="T44" sqref="T44"/>
    </sheetView>
  </sheetViews>
  <sheetFormatPr defaultRowHeight="14" x14ac:dyDescent="0.3"/>
  <sheetData>
    <row r="7" spans="6:45" x14ac:dyDescent="0.3">
      <c r="F7" s="1" t="s">
        <v>0</v>
      </c>
      <c r="G7" s="1" t="s">
        <v>1</v>
      </c>
      <c r="H7" s="1" t="s">
        <v>2</v>
      </c>
      <c r="I7" s="1" t="s">
        <v>3</v>
      </c>
      <c r="J7" s="1" t="s">
        <v>4</v>
      </c>
      <c r="K7" s="1" t="s">
        <v>5</v>
      </c>
      <c r="L7" s="1" t="s">
        <v>6</v>
      </c>
      <c r="M7" s="1" t="s">
        <v>7</v>
      </c>
      <c r="N7" s="1" t="s">
        <v>8</v>
      </c>
      <c r="O7" s="1" t="s">
        <v>9</v>
      </c>
      <c r="P7" s="1" t="s">
        <v>10</v>
      </c>
      <c r="Q7" s="1" t="s">
        <v>11</v>
      </c>
      <c r="T7" s="3" t="s">
        <v>24</v>
      </c>
      <c r="U7" s="3" t="s">
        <v>1</v>
      </c>
      <c r="V7" s="3" t="s">
        <v>2</v>
      </c>
      <c r="W7" s="3" t="s">
        <v>3</v>
      </c>
      <c r="X7" s="3" t="s">
        <v>38</v>
      </c>
      <c r="Y7" s="3" t="s">
        <v>5</v>
      </c>
      <c r="Z7" s="3" t="s">
        <v>6</v>
      </c>
      <c r="AA7" s="3" t="s">
        <v>7</v>
      </c>
      <c r="AB7" s="3" t="s">
        <v>8</v>
      </c>
      <c r="AC7" s="3" t="s">
        <v>9</v>
      </c>
      <c r="AD7" s="3" t="s">
        <v>10</v>
      </c>
      <c r="AE7" s="3" t="s">
        <v>11</v>
      </c>
      <c r="AH7" s="3" t="s">
        <v>24</v>
      </c>
      <c r="AI7" s="3" t="s">
        <v>1</v>
      </c>
      <c r="AJ7" s="3" t="s">
        <v>2</v>
      </c>
      <c r="AK7" s="3" t="s">
        <v>3</v>
      </c>
      <c r="AL7" s="3" t="s">
        <v>4</v>
      </c>
      <c r="AM7" s="3" t="s">
        <v>5</v>
      </c>
      <c r="AN7" s="3" t="s">
        <v>6</v>
      </c>
      <c r="AO7" s="3" t="s">
        <v>7</v>
      </c>
      <c r="AP7" s="3" t="s">
        <v>8</v>
      </c>
      <c r="AQ7" s="3" t="s">
        <v>9</v>
      </c>
      <c r="AR7" s="3" t="s">
        <v>10</v>
      </c>
      <c r="AS7" s="3" t="s">
        <v>11</v>
      </c>
    </row>
    <row r="8" spans="6:45" ht="84" x14ac:dyDescent="0.3">
      <c r="F8" s="2" t="s">
        <v>12</v>
      </c>
      <c r="G8" s="2">
        <v>0</v>
      </c>
      <c r="H8" s="2">
        <v>2</v>
      </c>
      <c r="I8" s="2">
        <v>2</v>
      </c>
      <c r="J8" s="2">
        <v>4</v>
      </c>
      <c r="K8" s="2">
        <v>1</v>
      </c>
      <c r="L8" s="2">
        <v>28</v>
      </c>
      <c r="M8" s="2">
        <v>62</v>
      </c>
      <c r="N8" s="2">
        <v>99</v>
      </c>
      <c r="O8" s="2">
        <v>113</v>
      </c>
      <c r="P8" s="2">
        <v>100</v>
      </c>
      <c r="Q8" s="2">
        <v>411</v>
      </c>
      <c r="T8" s="2" t="s">
        <v>25</v>
      </c>
      <c r="U8" s="2">
        <v>11</v>
      </c>
      <c r="V8" s="2">
        <v>0</v>
      </c>
      <c r="W8" s="2">
        <v>4</v>
      </c>
      <c r="X8" s="2">
        <v>0</v>
      </c>
      <c r="Y8" s="2">
        <v>1</v>
      </c>
      <c r="Z8" s="2">
        <v>0</v>
      </c>
      <c r="AA8" s="2">
        <v>34</v>
      </c>
      <c r="AB8" s="2">
        <v>18</v>
      </c>
      <c r="AC8" s="2">
        <v>298</v>
      </c>
      <c r="AD8" s="2">
        <v>126</v>
      </c>
      <c r="AE8" s="2">
        <v>492</v>
      </c>
      <c r="AH8" s="2" t="s">
        <v>12</v>
      </c>
      <c r="AI8" s="2">
        <v>0</v>
      </c>
      <c r="AJ8" s="2">
        <v>0</v>
      </c>
      <c r="AK8" s="2">
        <v>0</v>
      </c>
      <c r="AL8" s="2">
        <v>0</v>
      </c>
      <c r="AM8" s="2">
        <v>1</v>
      </c>
      <c r="AN8" s="2">
        <v>0</v>
      </c>
      <c r="AO8" s="2">
        <v>11</v>
      </c>
      <c r="AP8" s="2">
        <v>7</v>
      </c>
      <c r="AQ8" s="2">
        <v>218</v>
      </c>
      <c r="AR8" s="2">
        <v>258</v>
      </c>
      <c r="AS8" s="2">
        <v>495</v>
      </c>
    </row>
    <row r="9" spans="6:45" ht="42" x14ac:dyDescent="0.3">
      <c r="F9" s="2" t="s">
        <v>13</v>
      </c>
      <c r="G9" s="2">
        <v>0</v>
      </c>
      <c r="H9" s="2">
        <v>4</v>
      </c>
      <c r="I9" s="2">
        <v>4</v>
      </c>
      <c r="J9" s="2">
        <v>2</v>
      </c>
      <c r="K9" s="2">
        <v>0</v>
      </c>
      <c r="L9" s="2">
        <v>6</v>
      </c>
      <c r="M9" s="2">
        <v>9</v>
      </c>
      <c r="N9" s="2">
        <v>29</v>
      </c>
      <c r="O9" s="2">
        <v>73</v>
      </c>
      <c r="P9" s="2">
        <v>212</v>
      </c>
      <c r="Q9" s="2">
        <v>339</v>
      </c>
      <c r="T9" s="2" t="s">
        <v>27</v>
      </c>
      <c r="U9" s="2">
        <v>14</v>
      </c>
      <c r="V9" s="2">
        <v>2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3</v>
      </c>
      <c r="AC9" s="2">
        <v>108</v>
      </c>
      <c r="AD9" s="2">
        <v>199</v>
      </c>
      <c r="AE9" s="2">
        <v>327</v>
      </c>
      <c r="AH9" s="2" t="s">
        <v>13</v>
      </c>
      <c r="AI9" s="2">
        <v>0</v>
      </c>
      <c r="AJ9" s="2">
        <v>0</v>
      </c>
      <c r="AK9" s="2">
        <v>1</v>
      </c>
      <c r="AL9" s="2">
        <v>0</v>
      </c>
      <c r="AM9" s="2">
        <v>0</v>
      </c>
      <c r="AN9" s="2">
        <v>1</v>
      </c>
      <c r="AO9" s="2">
        <v>3</v>
      </c>
      <c r="AP9" s="2">
        <v>10</v>
      </c>
      <c r="AQ9" s="2">
        <v>95</v>
      </c>
      <c r="AR9" s="2">
        <v>220</v>
      </c>
      <c r="AS9" s="2">
        <v>330</v>
      </c>
    </row>
    <row r="10" spans="6:45" ht="56" x14ac:dyDescent="0.3">
      <c r="F10" s="2" t="s">
        <v>14</v>
      </c>
      <c r="G10" s="2">
        <v>0</v>
      </c>
      <c r="H10" s="2">
        <v>1</v>
      </c>
      <c r="I10" s="2">
        <v>0</v>
      </c>
      <c r="J10" s="2">
        <v>2</v>
      </c>
      <c r="K10" s="2">
        <v>2</v>
      </c>
      <c r="L10" s="2">
        <v>13</v>
      </c>
      <c r="M10" s="2">
        <v>24</v>
      </c>
      <c r="N10" s="2">
        <v>42</v>
      </c>
      <c r="O10" s="2">
        <v>90</v>
      </c>
      <c r="P10" s="2">
        <v>102</v>
      </c>
      <c r="Q10" s="2">
        <v>276</v>
      </c>
      <c r="T10" s="2" t="s">
        <v>26</v>
      </c>
      <c r="U10" s="2">
        <v>10</v>
      </c>
      <c r="V10" s="2">
        <v>0</v>
      </c>
      <c r="W10" s="2">
        <v>3</v>
      </c>
      <c r="X10" s="2">
        <v>0</v>
      </c>
      <c r="Y10" s="2">
        <v>1</v>
      </c>
      <c r="Z10" s="2">
        <v>0</v>
      </c>
      <c r="AA10" s="2">
        <v>10</v>
      </c>
      <c r="AB10" s="2">
        <v>24</v>
      </c>
      <c r="AC10" s="2">
        <v>179</v>
      </c>
      <c r="AD10" s="2">
        <v>100</v>
      </c>
      <c r="AE10" s="2">
        <v>327</v>
      </c>
      <c r="AH10" s="2" t="s">
        <v>14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2</v>
      </c>
      <c r="AO10" s="2">
        <v>6</v>
      </c>
      <c r="AP10" s="2">
        <v>15</v>
      </c>
      <c r="AQ10" s="2">
        <v>106</v>
      </c>
      <c r="AR10" s="2">
        <v>201</v>
      </c>
      <c r="AS10" s="2">
        <v>330</v>
      </c>
    </row>
    <row r="11" spans="6:45" ht="56" x14ac:dyDescent="0.3">
      <c r="F11" s="2" t="s">
        <v>15</v>
      </c>
      <c r="G11" s="2">
        <v>0</v>
      </c>
      <c r="H11" s="2">
        <v>0</v>
      </c>
      <c r="I11" s="2">
        <v>0</v>
      </c>
      <c r="J11" s="2">
        <v>0</v>
      </c>
      <c r="K11" s="2">
        <v>4</v>
      </c>
      <c r="L11" s="2">
        <v>43</v>
      </c>
      <c r="M11" s="2">
        <v>72</v>
      </c>
      <c r="N11" s="2">
        <v>43</v>
      </c>
      <c r="O11" s="2">
        <v>35</v>
      </c>
      <c r="P11" s="2">
        <v>54</v>
      </c>
      <c r="Q11" s="2">
        <v>251</v>
      </c>
      <c r="T11" s="2" t="s">
        <v>28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17</v>
      </c>
      <c r="AA11" s="2">
        <v>24</v>
      </c>
      <c r="AB11" s="2">
        <v>87</v>
      </c>
      <c r="AC11" s="2">
        <v>118</v>
      </c>
      <c r="AD11" s="2">
        <v>29</v>
      </c>
      <c r="AE11" s="2">
        <v>275</v>
      </c>
      <c r="AH11" s="2" t="s">
        <v>15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2</v>
      </c>
      <c r="AP11" s="2">
        <v>128</v>
      </c>
      <c r="AQ11" s="2">
        <v>71</v>
      </c>
      <c r="AR11" s="2">
        <v>74</v>
      </c>
      <c r="AS11" s="2">
        <v>275</v>
      </c>
    </row>
    <row r="12" spans="6:45" ht="84" x14ac:dyDescent="0.3">
      <c r="F12" s="2" t="s">
        <v>16</v>
      </c>
      <c r="G12" s="2">
        <v>0</v>
      </c>
      <c r="H12" s="2">
        <v>0</v>
      </c>
      <c r="I12" s="2">
        <v>0</v>
      </c>
      <c r="J12" s="2">
        <v>4</v>
      </c>
      <c r="K12" s="2">
        <v>11</v>
      </c>
      <c r="L12" s="2">
        <v>38</v>
      </c>
      <c r="M12" s="2">
        <v>59</v>
      </c>
      <c r="N12" s="2">
        <v>50</v>
      </c>
      <c r="O12" s="2">
        <v>14</v>
      </c>
      <c r="P12" s="2">
        <v>39</v>
      </c>
      <c r="Q12" s="2">
        <v>215</v>
      </c>
      <c r="T12" s="2" t="s">
        <v>29</v>
      </c>
      <c r="U12" s="2">
        <v>0</v>
      </c>
      <c r="V12" s="2">
        <v>0</v>
      </c>
      <c r="W12" s="2">
        <v>0</v>
      </c>
      <c r="X12" s="2">
        <v>0</v>
      </c>
      <c r="Y12" s="2">
        <v>2</v>
      </c>
      <c r="Z12" s="2">
        <v>15</v>
      </c>
      <c r="AA12" s="2">
        <v>52</v>
      </c>
      <c r="AB12" s="2">
        <v>95</v>
      </c>
      <c r="AC12" s="2">
        <v>54</v>
      </c>
      <c r="AD12" s="2">
        <v>1</v>
      </c>
      <c r="AE12" s="2">
        <v>219</v>
      </c>
      <c r="AH12" s="2" t="s">
        <v>16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41</v>
      </c>
      <c r="AP12" s="2">
        <v>93</v>
      </c>
      <c r="AQ12" s="2">
        <v>73</v>
      </c>
      <c r="AR12" s="2">
        <v>8</v>
      </c>
      <c r="AS12" s="2">
        <v>220</v>
      </c>
    </row>
    <row r="13" spans="6:45" ht="42" x14ac:dyDescent="0.3">
      <c r="F13" s="2" t="s">
        <v>17</v>
      </c>
      <c r="G13" s="2">
        <v>13</v>
      </c>
      <c r="H13" s="2">
        <v>12</v>
      </c>
      <c r="I13" s="2">
        <v>1</v>
      </c>
      <c r="J13" s="2">
        <v>0</v>
      </c>
      <c r="K13" s="2">
        <v>6</v>
      </c>
      <c r="L13" s="2">
        <v>16</v>
      </c>
      <c r="M13" s="2">
        <v>39</v>
      </c>
      <c r="N13" s="2">
        <v>48</v>
      </c>
      <c r="O13" s="2">
        <v>25</v>
      </c>
      <c r="P13" s="2">
        <v>40</v>
      </c>
      <c r="Q13" s="2">
        <v>200</v>
      </c>
      <c r="T13" s="2" t="s">
        <v>31</v>
      </c>
      <c r="U13" s="2">
        <v>14</v>
      </c>
      <c r="V13" s="2">
        <v>0</v>
      </c>
      <c r="W13" s="2">
        <v>2</v>
      </c>
      <c r="X13" s="2">
        <v>0</v>
      </c>
      <c r="Y13" s="2">
        <v>0</v>
      </c>
      <c r="Z13" s="2">
        <v>13</v>
      </c>
      <c r="AA13" s="2">
        <v>14</v>
      </c>
      <c r="AB13" s="2">
        <v>32</v>
      </c>
      <c r="AC13" s="2">
        <v>108</v>
      </c>
      <c r="AD13" s="2">
        <v>35</v>
      </c>
      <c r="AE13" s="2">
        <v>218</v>
      </c>
      <c r="AH13" s="2" t="s">
        <v>17</v>
      </c>
      <c r="AI13" s="2">
        <v>0</v>
      </c>
      <c r="AJ13" s="2">
        <v>0</v>
      </c>
      <c r="AK13" s="2">
        <v>0</v>
      </c>
      <c r="AL13" s="2">
        <v>1</v>
      </c>
      <c r="AM13" s="2">
        <v>0</v>
      </c>
      <c r="AN13" s="2">
        <v>6</v>
      </c>
      <c r="AO13" s="2">
        <v>10</v>
      </c>
      <c r="AP13" s="2">
        <v>31</v>
      </c>
      <c r="AQ13" s="2">
        <v>87</v>
      </c>
      <c r="AR13" s="2">
        <v>85</v>
      </c>
      <c r="AS13" s="2">
        <v>220</v>
      </c>
    </row>
    <row r="14" spans="6:45" ht="70" x14ac:dyDescent="0.3">
      <c r="F14" s="2" t="s">
        <v>18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1</v>
      </c>
      <c r="M14" s="2">
        <v>28</v>
      </c>
      <c r="N14" s="2">
        <v>58</v>
      </c>
      <c r="O14" s="2">
        <v>71</v>
      </c>
      <c r="P14" s="2">
        <v>42</v>
      </c>
      <c r="Q14" s="2">
        <v>202</v>
      </c>
      <c r="T14" s="2" t="s">
        <v>30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1</v>
      </c>
      <c r="AA14" s="2">
        <v>6</v>
      </c>
      <c r="AB14" s="2">
        <v>127</v>
      </c>
      <c r="AC14" s="2">
        <v>84</v>
      </c>
      <c r="AD14" s="2">
        <v>1</v>
      </c>
      <c r="AE14" s="2">
        <v>219</v>
      </c>
      <c r="AH14" s="2" t="s">
        <v>18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62</v>
      </c>
      <c r="AQ14" s="2">
        <v>135</v>
      </c>
      <c r="AR14" s="2">
        <v>23</v>
      </c>
      <c r="AS14" s="2">
        <v>220</v>
      </c>
    </row>
    <row r="15" spans="6:45" ht="84" x14ac:dyDescent="0.3">
      <c r="F15" s="2" t="s">
        <v>19</v>
      </c>
      <c r="G15" s="2">
        <v>0</v>
      </c>
      <c r="H15" s="2">
        <v>0</v>
      </c>
      <c r="I15" s="2">
        <v>0</v>
      </c>
      <c r="J15" s="2">
        <v>2</v>
      </c>
      <c r="K15" s="2">
        <v>13</v>
      </c>
      <c r="L15" s="2">
        <v>35</v>
      </c>
      <c r="M15" s="2">
        <v>46</v>
      </c>
      <c r="N15" s="2">
        <v>16</v>
      </c>
      <c r="O15" s="2">
        <v>19</v>
      </c>
      <c r="P15" s="2">
        <v>34</v>
      </c>
      <c r="Q15" s="2">
        <v>165</v>
      </c>
      <c r="T15" s="2" t="s">
        <v>32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6</v>
      </c>
      <c r="AC15" s="2">
        <v>132</v>
      </c>
      <c r="AD15" s="2">
        <v>27</v>
      </c>
      <c r="AE15" s="2">
        <v>165</v>
      </c>
      <c r="AH15" s="2" t="s">
        <v>19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4</v>
      </c>
      <c r="AP15" s="2">
        <v>48</v>
      </c>
      <c r="AQ15" s="2">
        <v>59</v>
      </c>
      <c r="AR15" s="2">
        <v>54</v>
      </c>
      <c r="AS15" s="2">
        <v>165</v>
      </c>
    </row>
    <row r="16" spans="6:45" ht="70" x14ac:dyDescent="0.3">
      <c r="F16" s="2" t="s">
        <v>20</v>
      </c>
      <c r="G16" s="2">
        <v>0</v>
      </c>
      <c r="H16" s="2">
        <v>1</v>
      </c>
      <c r="I16" s="2">
        <v>1</v>
      </c>
      <c r="J16" s="2">
        <v>14</v>
      </c>
      <c r="K16" s="2">
        <v>2</v>
      </c>
      <c r="L16" s="2">
        <v>19</v>
      </c>
      <c r="M16" s="2">
        <v>34</v>
      </c>
      <c r="N16" s="2">
        <v>30</v>
      </c>
      <c r="O16" s="2">
        <v>34</v>
      </c>
      <c r="P16" s="2">
        <v>11</v>
      </c>
      <c r="Q16" s="2">
        <v>146</v>
      </c>
      <c r="T16" s="2" t="s">
        <v>34</v>
      </c>
      <c r="U16" s="2">
        <v>9</v>
      </c>
      <c r="V16" s="2">
        <v>0</v>
      </c>
      <c r="W16" s="2">
        <v>0</v>
      </c>
      <c r="X16" s="2">
        <v>0</v>
      </c>
      <c r="Y16" s="2">
        <v>3</v>
      </c>
      <c r="Z16" s="2">
        <v>8</v>
      </c>
      <c r="AA16" s="2">
        <v>32</v>
      </c>
      <c r="AB16" s="2">
        <v>36</v>
      </c>
      <c r="AC16" s="2">
        <v>52</v>
      </c>
      <c r="AD16" s="2">
        <v>14</v>
      </c>
      <c r="AE16" s="2">
        <v>154</v>
      </c>
      <c r="AH16" s="2" t="s">
        <v>20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1</v>
      </c>
      <c r="AO16" s="2">
        <v>22</v>
      </c>
      <c r="AP16" s="2">
        <v>36</v>
      </c>
      <c r="AQ16" s="2">
        <v>53</v>
      </c>
      <c r="AR16" s="2">
        <v>39</v>
      </c>
      <c r="AS16" s="2">
        <v>151</v>
      </c>
    </row>
    <row r="17" spans="6:45" ht="56" x14ac:dyDescent="0.3">
      <c r="F17" s="2" t="s">
        <v>21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8</v>
      </c>
      <c r="M17" s="2">
        <v>25</v>
      </c>
      <c r="N17" s="2">
        <v>40</v>
      </c>
      <c r="O17" s="2">
        <v>38</v>
      </c>
      <c r="P17" s="2">
        <v>45</v>
      </c>
      <c r="Q17" s="2">
        <v>156</v>
      </c>
      <c r="T17" s="2" t="s">
        <v>33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8</v>
      </c>
      <c r="AC17" s="2">
        <v>98</v>
      </c>
      <c r="AD17" s="2">
        <v>57</v>
      </c>
      <c r="AE17" s="2">
        <v>164</v>
      </c>
      <c r="AH17" s="2" t="s">
        <v>21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8</v>
      </c>
      <c r="AQ17" s="2">
        <v>116</v>
      </c>
      <c r="AR17" s="2">
        <v>41</v>
      </c>
      <c r="AS17" s="2">
        <v>165</v>
      </c>
    </row>
    <row r="18" spans="6:45" ht="84" x14ac:dyDescent="0.3">
      <c r="F18" s="2" t="s">
        <v>22</v>
      </c>
      <c r="G18" s="2">
        <v>4</v>
      </c>
      <c r="H18" s="2">
        <v>11</v>
      </c>
      <c r="I18" s="2">
        <v>3</v>
      </c>
      <c r="J18" s="2">
        <v>0</v>
      </c>
      <c r="K18" s="2">
        <v>3</v>
      </c>
      <c r="L18" s="2">
        <v>0</v>
      </c>
      <c r="M18" s="2">
        <v>21</v>
      </c>
      <c r="N18" s="2">
        <v>28</v>
      </c>
      <c r="O18" s="2">
        <v>15</v>
      </c>
      <c r="P18" s="2">
        <v>34</v>
      </c>
      <c r="Q18" s="2">
        <v>119</v>
      </c>
      <c r="T18" s="2" t="s">
        <v>36</v>
      </c>
      <c r="U18" s="2">
        <v>10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3</v>
      </c>
      <c r="AC18" s="2">
        <v>12</v>
      </c>
      <c r="AD18" s="2">
        <v>58</v>
      </c>
      <c r="AE18" s="2">
        <v>83</v>
      </c>
      <c r="AH18" s="2" t="s">
        <v>22</v>
      </c>
      <c r="AI18" s="2">
        <v>0</v>
      </c>
      <c r="AJ18" s="2">
        <v>0</v>
      </c>
      <c r="AK18" s="2">
        <v>0</v>
      </c>
      <c r="AL18" s="2">
        <v>0</v>
      </c>
      <c r="AM18" s="2">
        <v>1</v>
      </c>
      <c r="AN18" s="2">
        <v>3</v>
      </c>
      <c r="AO18" s="2">
        <v>3</v>
      </c>
      <c r="AP18" s="2">
        <v>1</v>
      </c>
      <c r="AQ18" s="2">
        <v>22</v>
      </c>
      <c r="AR18" s="2">
        <v>62</v>
      </c>
      <c r="AS18" s="2">
        <v>92</v>
      </c>
    </row>
    <row r="19" spans="6:45" ht="56" x14ac:dyDescent="0.3">
      <c r="F19" s="2" t="s">
        <v>23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2</v>
      </c>
      <c r="M19" s="2">
        <v>25</v>
      </c>
      <c r="N19" s="2">
        <v>50</v>
      </c>
      <c r="O19" s="2">
        <v>19</v>
      </c>
      <c r="P19" s="2">
        <v>9</v>
      </c>
      <c r="Q19" s="2">
        <v>105</v>
      </c>
      <c r="T19" s="2" t="s">
        <v>35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4</v>
      </c>
      <c r="AC19" s="2">
        <v>102</v>
      </c>
      <c r="AD19" s="2">
        <v>4</v>
      </c>
      <c r="AE19" s="2">
        <v>110</v>
      </c>
      <c r="AH19" s="2" t="s">
        <v>23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16</v>
      </c>
      <c r="AQ19" s="2">
        <v>88</v>
      </c>
      <c r="AR19" s="2">
        <v>6</v>
      </c>
      <c r="AS19" s="2">
        <v>110</v>
      </c>
    </row>
    <row r="24" spans="6:45" x14ac:dyDescent="0.3">
      <c r="F24" s="3" t="s">
        <v>37</v>
      </c>
      <c r="G24" s="1" t="s">
        <v>1</v>
      </c>
      <c r="H24" s="1" t="s">
        <v>2</v>
      </c>
      <c r="I24" s="1" t="s">
        <v>3</v>
      </c>
      <c r="J24" s="3" t="s">
        <v>38</v>
      </c>
      <c r="K24" s="1" t="s">
        <v>5</v>
      </c>
      <c r="L24" s="1" t="s">
        <v>6</v>
      </c>
      <c r="M24" s="1" t="s">
        <v>7</v>
      </c>
      <c r="N24" s="1" t="s">
        <v>8</v>
      </c>
      <c r="O24" s="1" t="s">
        <v>9</v>
      </c>
      <c r="P24" s="1" t="s">
        <v>10</v>
      </c>
      <c r="Q24" s="1" t="s">
        <v>11</v>
      </c>
      <c r="T24" s="3" t="s">
        <v>37</v>
      </c>
      <c r="U24" s="1" t="s">
        <v>1</v>
      </c>
      <c r="V24" s="1" t="s">
        <v>2</v>
      </c>
      <c r="W24" s="1" t="s">
        <v>3</v>
      </c>
      <c r="X24" s="3" t="s">
        <v>38</v>
      </c>
      <c r="Y24" s="1" t="s">
        <v>5</v>
      </c>
      <c r="Z24" s="1" t="s">
        <v>6</v>
      </c>
      <c r="AA24" s="1" t="s">
        <v>7</v>
      </c>
      <c r="AB24" s="1" t="s">
        <v>8</v>
      </c>
      <c r="AC24" s="1" t="s">
        <v>9</v>
      </c>
      <c r="AD24" s="1" t="s">
        <v>10</v>
      </c>
      <c r="AE24" s="1" t="s">
        <v>11</v>
      </c>
    </row>
    <row r="25" spans="6:45" ht="84" x14ac:dyDescent="0.3">
      <c r="F25" s="2" t="s">
        <v>12</v>
      </c>
      <c r="G25">
        <f>G8+AI8</f>
        <v>0</v>
      </c>
      <c r="H25">
        <f t="shared" ref="H25:Q36" si="0">H8+AJ8</f>
        <v>2</v>
      </c>
      <c r="I25">
        <f t="shared" si="0"/>
        <v>2</v>
      </c>
      <c r="J25">
        <f t="shared" si="0"/>
        <v>4</v>
      </c>
      <c r="K25">
        <f t="shared" si="0"/>
        <v>2</v>
      </c>
      <c r="L25">
        <f t="shared" si="0"/>
        <v>28</v>
      </c>
      <c r="M25">
        <f t="shared" si="0"/>
        <v>73</v>
      </c>
      <c r="N25">
        <f t="shared" si="0"/>
        <v>106</v>
      </c>
      <c r="O25">
        <f t="shared" si="0"/>
        <v>331</v>
      </c>
      <c r="P25">
        <f t="shared" si="0"/>
        <v>358</v>
      </c>
      <c r="Q25">
        <f t="shared" si="0"/>
        <v>906</v>
      </c>
      <c r="T25" s="2" t="s">
        <v>25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6:45" ht="42" x14ac:dyDescent="0.3">
      <c r="F26" s="2" t="s">
        <v>13</v>
      </c>
      <c r="G26">
        <f t="shared" ref="G26:G36" si="1">G9+AI9</f>
        <v>0</v>
      </c>
      <c r="H26">
        <f t="shared" si="0"/>
        <v>4</v>
      </c>
      <c r="I26">
        <f t="shared" si="0"/>
        <v>5</v>
      </c>
      <c r="J26">
        <f t="shared" si="0"/>
        <v>2</v>
      </c>
      <c r="K26">
        <f t="shared" si="0"/>
        <v>0</v>
      </c>
      <c r="L26">
        <f t="shared" si="0"/>
        <v>7</v>
      </c>
      <c r="M26">
        <f t="shared" si="0"/>
        <v>12</v>
      </c>
      <c r="N26">
        <f t="shared" si="0"/>
        <v>39</v>
      </c>
      <c r="O26">
        <f t="shared" si="0"/>
        <v>168</v>
      </c>
      <c r="P26">
        <f t="shared" si="0"/>
        <v>432</v>
      </c>
      <c r="Q26">
        <f t="shared" si="0"/>
        <v>669</v>
      </c>
      <c r="T26" s="2" t="s">
        <v>27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6:45" ht="56" x14ac:dyDescent="0.3">
      <c r="F27" s="2" t="s">
        <v>14</v>
      </c>
      <c r="G27">
        <f t="shared" si="1"/>
        <v>0</v>
      </c>
      <c r="H27">
        <f t="shared" si="0"/>
        <v>1</v>
      </c>
      <c r="I27">
        <f t="shared" si="0"/>
        <v>0</v>
      </c>
      <c r="J27">
        <f t="shared" si="0"/>
        <v>2</v>
      </c>
      <c r="K27">
        <f t="shared" si="0"/>
        <v>2</v>
      </c>
      <c r="L27">
        <f t="shared" si="0"/>
        <v>15</v>
      </c>
      <c r="M27">
        <f t="shared" si="0"/>
        <v>30</v>
      </c>
      <c r="N27">
        <f t="shared" si="0"/>
        <v>57</v>
      </c>
      <c r="O27">
        <f t="shared" si="0"/>
        <v>196</v>
      </c>
      <c r="P27">
        <f t="shared" si="0"/>
        <v>303</v>
      </c>
      <c r="Q27">
        <f t="shared" si="0"/>
        <v>606</v>
      </c>
      <c r="T27" s="2" t="s">
        <v>26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6:45" ht="56" x14ac:dyDescent="0.3">
      <c r="F28" s="2" t="s">
        <v>15</v>
      </c>
      <c r="G28">
        <f t="shared" si="1"/>
        <v>0</v>
      </c>
      <c r="H28">
        <f t="shared" si="0"/>
        <v>0</v>
      </c>
      <c r="I28">
        <f t="shared" si="0"/>
        <v>0</v>
      </c>
      <c r="J28">
        <f t="shared" si="0"/>
        <v>0</v>
      </c>
      <c r="K28">
        <f t="shared" si="0"/>
        <v>4</v>
      </c>
      <c r="L28">
        <f t="shared" si="0"/>
        <v>43</v>
      </c>
      <c r="M28">
        <f t="shared" si="0"/>
        <v>74</v>
      </c>
      <c r="N28">
        <f t="shared" si="0"/>
        <v>171</v>
      </c>
      <c r="O28">
        <f t="shared" si="0"/>
        <v>106</v>
      </c>
      <c r="P28">
        <f t="shared" si="0"/>
        <v>128</v>
      </c>
      <c r="Q28">
        <f t="shared" si="0"/>
        <v>526</v>
      </c>
      <c r="T28" s="2" t="s">
        <v>28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6:45" ht="84" x14ac:dyDescent="0.3">
      <c r="F29" s="2" t="s">
        <v>16</v>
      </c>
      <c r="G29">
        <f t="shared" si="1"/>
        <v>0</v>
      </c>
      <c r="H29">
        <f t="shared" si="0"/>
        <v>0</v>
      </c>
      <c r="I29">
        <f t="shared" si="0"/>
        <v>0</v>
      </c>
      <c r="J29">
        <f t="shared" si="0"/>
        <v>4</v>
      </c>
      <c r="K29">
        <f t="shared" si="0"/>
        <v>11</v>
      </c>
      <c r="L29">
        <f t="shared" si="0"/>
        <v>38</v>
      </c>
      <c r="M29">
        <f t="shared" si="0"/>
        <v>100</v>
      </c>
      <c r="N29">
        <f t="shared" si="0"/>
        <v>143</v>
      </c>
      <c r="O29">
        <f t="shared" si="0"/>
        <v>87</v>
      </c>
      <c r="P29">
        <f t="shared" si="0"/>
        <v>47</v>
      </c>
      <c r="Q29">
        <f t="shared" si="0"/>
        <v>435</v>
      </c>
      <c r="T29" s="2" t="s">
        <v>29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6:45" ht="42" x14ac:dyDescent="0.3">
      <c r="F30" s="2" t="s">
        <v>17</v>
      </c>
      <c r="G30">
        <f t="shared" si="1"/>
        <v>13</v>
      </c>
      <c r="H30">
        <f t="shared" si="0"/>
        <v>12</v>
      </c>
      <c r="I30">
        <f t="shared" si="0"/>
        <v>1</v>
      </c>
      <c r="J30">
        <f t="shared" si="0"/>
        <v>1</v>
      </c>
      <c r="K30">
        <f t="shared" si="0"/>
        <v>6</v>
      </c>
      <c r="L30">
        <f t="shared" si="0"/>
        <v>22</v>
      </c>
      <c r="M30">
        <f t="shared" si="0"/>
        <v>49</v>
      </c>
      <c r="N30">
        <f t="shared" si="0"/>
        <v>79</v>
      </c>
      <c r="O30">
        <f t="shared" si="0"/>
        <v>112</v>
      </c>
      <c r="P30">
        <f t="shared" si="0"/>
        <v>125</v>
      </c>
      <c r="Q30">
        <f t="shared" si="0"/>
        <v>420</v>
      </c>
      <c r="T30" s="2" t="s">
        <v>31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6:45" ht="70" x14ac:dyDescent="0.3">
      <c r="F31" s="2" t="s">
        <v>18</v>
      </c>
      <c r="G31">
        <f t="shared" si="1"/>
        <v>0</v>
      </c>
      <c r="H31">
        <f t="shared" si="0"/>
        <v>0</v>
      </c>
      <c r="I31">
        <f t="shared" si="0"/>
        <v>0</v>
      </c>
      <c r="J31">
        <f t="shared" si="0"/>
        <v>0</v>
      </c>
      <c r="K31">
        <f t="shared" si="0"/>
        <v>2</v>
      </c>
      <c r="L31">
        <f t="shared" si="0"/>
        <v>1</v>
      </c>
      <c r="M31">
        <f t="shared" si="0"/>
        <v>28</v>
      </c>
      <c r="N31">
        <f t="shared" si="0"/>
        <v>120</v>
      </c>
      <c r="O31">
        <f t="shared" si="0"/>
        <v>206</v>
      </c>
      <c r="P31">
        <f t="shared" si="0"/>
        <v>65</v>
      </c>
      <c r="Q31">
        <f t="shared" si="0"/>
        <v>422</v>
      </c>
      <c r="T31" s="2" t="s">
        <v>30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6:45" ht="84" x14ac:dyDescent="0.3">
      <c r="F32" s="2" t="s">
        <v>19</v>
      </c>
      <c r="G32">
        <f t="shared" si="1"/>
        <v>0</v>
      </c>
      <c r="H32">
        <f t="shared" si="0"/>
        <v>0</v>
      </c>
      <c r="I32">
        <f t="shared" si="0"/>
        <v>0</v>
      </c>
      <c r="J32">
        <f t="shared" si="0"/>
        <v>2</v>
      </c>
      <c r="K32">
        <f t="shared" si="0"/>
        <v>13</v>
      </c>
      <c r="L32">
        <f t="shared" si="0"/>
        <v>35</v>
      </c>
      <c r="M32">
        <f t="shared" si="0"/>
        <v>50</v>
      </c>
      <c r="N32">
        <f t="shared" si="0"/>
        <v>64</v>
      </c>
      <c r="O32">
        <f t="shared" si="0"/>
        <v>78</v>
      </c>
      <c r="P32">
        <f t="shared" si="0"/>
        <v>88</v>
      </c>
      <c r="Q32">
        <f t="shared" si="0"/>
        <v>330</v>
      </c>
      <c r="T32" s="2" t="s">
        <v>32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6:31" ht="70" x14ac:dyDescent="0.3">
      <c r="F33" s="2" t="s">
        <v>20</v>
      </c>
      <c r="G33">
        <f t="shared" si="1"/>
        <v>0</v>
      </c>
      <c r="H33">
        <f t="shared" si="0"/>
        <v>1</v>
      </c>
      <c r="I33">
        <f t="shared" si="0"/>
        <v>1</v>
      </c>
      <c r="J33">
        <f t="shared" si="0"/>
        <v>14</v>
      </c>
      <c r="K33">
        <f t="shared" si="0"/>
        <v>2</v>
      </c>
      <c r="L33">
        <f t="shared" si="0"/>
        <v>20</v>
      </c>
      <c r="M33">
        <f t="shared" si="0"/>
        <v>56</v>
      </c>
      <c r="N33">
        <f t="shared" si="0"/>
        <v>66</v>
      </c>
      <c r="O33">
        <f t="shared" si="0"/>
        <v>87</v>
      </c>
      <c r="P33">
        <f t="shared" si="0"/>
        <v>50</v>
      </c>
      <c r="Q33">
        <f t="shared" si="0"/>
        <v>297</v>
      </c>
      <c r="T33" s="2" t="s">
        <v>34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6:31" ht="56" x14ac:dyDescent="0.3">
      <c r="F34" s="2" t="s">
        <v>21</v>
      </c>
      <c r="G34">
        <f t="shared" si="1"/>
        <v>0</v>
      </c>
      <c r="H34">
        <f t="shared" si="0"/>
        <v>0</v>
      </c>
      <c r="I34">
        <f t="shared" si="0"/>
        <v>0</v>
      </c>
      <c r="J34">
        <f t="shared" si="0"/>
        <v>0</v>
      </c>
      <c r="K34">
        <f t="shared" si="0"/>
        <v>0</v>
      </c>
      <c r="L34">
        <f t="shared" si="0"/>
        <v>8</v>
      </c>
      <c r="M34">
        <f t="shared" si="0"/>
        <v>25</v>
      </c>
      <c r="N34">
        <f t="shared" si="0"/>
        <v>48</v>
      </c>
      <c r="O34">
        <f t="shared" si="0"/>
        <v>154</v>
      </c>
      <c r="P34">
        <f t="shared" si="0"/>
        <v>86</v>
      </c>
      <c r="Q34">
        <f t="shared" si="0"/>
        <v>321</v>
      </c>
      <c r="T34" s="2" t="s">
        <v>33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6:31" ht="84" x14ac:dyDescent="0.3">
      <c r="F35" s="2" t="s">
        <v>22</v>
      </c>
      <c r="G35">
        <f t="shared" si="1"/>
        <v>4</v>
      </c>
      <c r="H35">
        <f t="shared" si="0"/>
        <v>11</v>
      </c>
      <c r="I35">
        <f t="shared" si="0"/>
        <v>3</v>
      </c>
      <c r="J35">
        <f t="shared" si="0"/>
        <v>0</v>
      </c>
      <c r="K35">
        <f t="shared" si="0"/>
        <v>4</v>
      </c>
      <c r="L35">
        <f t="shared" si="0"/>
        <v>3</v>
      </c>
      <c r="M35">
        <f t="shared" si="0"/>
        <v>24</v>
      </c>
      <c r="N35">
        <f t="shared" si="0"/>
        <v>29</v>
      </c>
      <c r="O35">
        <f t="shared" si="0"/>
        <v>37</v>
      </c>
      <c r="P35">
        <f t="shared" si="0"/>
        <v>96</v>
      </c>
      <c r="Q35">
        <f t="shared" si="0"/>
        <v>211</v>
      </c>
      <c r="T35" s="2" t="s">
        <v>36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6:31" ht="56" x14ac:dyDescent="0.3">
      <c r="F36" s="2" t="s">
        <v>23</v>
      </c>
      <c r="G36">
        <f t="shared" si="1"/>
        <v>0</v>
      </c>
      <c r="H36">
        <f t="shared" si="0"/>
        <v>0</v>
      </c>
      <c r="I36">
        <f t="shared" si="0"/>
        <v>0</v>
      </c>
      <c r="J36">
        <f t="shared" si="0"/>
        <v>0</v>
      </c>
      <c r="K36">
        <f t="shared" si="0"/>
        <v>0</v>
      </c>
      <c r="L36">
        <f t="shared" si="0"/>
        <v>2</v>
      </c>
      <c r="M36">
        <f t="shared" si="0"/>
        <v>25</v>
      </c>
      <c r="N36">
        <f t="shared" si="0"/>
        <v>66</v>
      </c>
      <c r="O36">
        <f t="shared" si="0"/>
        <v>107</v>
      </c>
      <c r="P36">
        <f t="shared" si="0"/>
        <v>15</v>
      </c>
      <c r="Q36">
        <f t="shared" si="0"/>
        <v>215</v>
      </c>
      <c r="T36" s="2" t="s">
        <v>35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6:31" x14ac:dyDescent="0.3">
      <c r="G37">
        <f t="shared" ref="G37:O37" si="2">SUM(G25:G36)</f>
        <v>17</v>
      </c>
      <c r="H37">
        <f t="shared" si="2"/>
        <v>31</v>
      </c>
      <c r="I37">
        <f t="shared" si="2"/>
        <v>12</v>
      </c>
      <c r="J37">
        <f t="shared" si="2"/>
        <v>29</v>
      </c>
      <c r="K37">
        <f t="shared" si="2"/>
        <v>46</v>
      </c>
      <c r="L37">
        <f t="shared" si="2"/>
        <v>222</v>
      </c>
      <c r="M37">
        <f t="shared" si="2"/>
        <v>546</v>
      </c>
      <c r="N37">
        <f t="shared" si="2"/>
        <v>988</v>
      </c>
      <c r="O37">
        <f t="shared" si="2"/>
        <v>1669</v>
      </c>
      <c r="P37">
        <f>SUM(P25:P36)</f>
        <v>1793</v>
      </c>
      <c r="Q37">
        <f>SUM(G37:P37)</f>
        <v>5353</v>
      </c>
      <c r="U37" s="2">
        <f t="shared" ref="U37:AC37" si="3">SUM(U25:U36)</f>
        <v>0</v>
      </c>
      <c r="V37" s="2">
        <f t="shared" si="3"/>
        <v>0</v>
      </c>
      <c r="W37" s="2">
        <f t="shared" si="3"/>
        <v>0</v>
      </c>
      <c r="X37" s="2">
        <f t="shared" si="3"/>
        <v>0</v>
      </c>
      <c r="Y37" s="2">
        <f t="shared" si="3"/>
        <v>0</v>
      </c>
      <c r="Z37" s="2">
        <f t="shared" si="3"/>
        <v>0</v>
      </c>
      <c r="AA37" s="2">
        <f t="shared" si="3"/>
        <v>0</v>
      </c>
      <c r="AB37" s="2">
        <f t="shared" si="3"/>
        <v>0</v>
      </c>
      <c r="AC37" s="2">
        <f t="shared" si="3"/>
        <v>0</v>
      </c>
      <c r="AD37" s="2">
        <f>SUM(AD25:AD36)</f>
        <v>0</v>
      </c>
    </row>
    <row r="38" spans="6:31" x14ac:dyDescent="0.3">
      <c r="G38">
        <v>500</v>
      </c>
      <c r="H38">
        <v>500</v>
      </c>
      <c r="I38">
        <v>500</v>
      </c>
      <c r="J38">
        <v>500</v>
      </c>
      <c r="K38">
        <v>500</v>
      </c>
      <c r="L38">
        <v>500</v>
      </c>
      <c r="U38">
        <v>500</v>
      </c>
      <c r="V38">
        <v>500</v>
      </c>
      <c r="W38">
        <v>500</v>
      </c>
      <c r="X38">
        <v>500</v>
      </c>
      <c r="Y38">
        <v>500</v>
      </c>
      <c r="Z38">
        <v>500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liang</dc:creator>
  <cp:lastModifiedBy>luna liang</cp:lastModifiedBy>
  <dcterms:created xsi:type="dcterms:W3CDTF">2025-11-02T14:57:00Z</dcterms:created>
  <dcterms:modified xsi:type="dcterms:W3CDTF">2025-11-03T11:32:52Z</dcterms:modified>
</cp:coreProperties>
</file>
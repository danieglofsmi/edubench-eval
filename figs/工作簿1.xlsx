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<sst xmlns="http://schemas.openxmlformats.org/spreadsheetml/2006/main" count="223" uniqueCount="43">
  <si>
    <t>Student-Oriented</t>
  </si>
  <si>
    <t>Problem Solving</t>
  </si>
  <si>
    <t>Error Correction</t>
  </si>
  <si>
    <t>Instruction Following &amp; Task Completion</t>
  </si>
  <si>
    <t>Scenario Element Integration</t>
  </si>
  <si>
    <t>Question Answering</t>
  </si>
  <si>
    <t>Basic Factual Accuracy</t>
  </si>
  <si>
    <t>total</t>
  </si>
  <si>
    <t>zh</t>
  </si>
  <si>
    <t>en</t>
  </si>
  <si>
    <t>Personalized Learning Support</t>
  </si>
  <si>
    <t>Reasoning Process Rigor</t>
  </si>
  <si>
    <t>k12</t>
  </si>
  <si>
    <t>Emotional Support</t>
  </si>
  <si>
    <t>Error Identification &amp; Correction Precision</t>
  </si>
  <si>
    <t>higher education</t>
  </si>
  <si>
    <t>Content Relevance &amp; Scope Control</t>
  </si>
  <si>
    <t>Teacher-Oriented Domains</t>
  </si>
  <si>
    <t>Question Generation</t>
  </si>
  <si>
    <t>Clarity, Simplicity &amp; Inspiration</t>
  </si>
  <si>
    <t>Automatic Grading</t>
  </si>
  <si>
    <t>Motivation, Guidance &amp; Positive Feedback</t>
  </si>
  <si>
    <t>Teaching Material Generation</t>
  </si>
  <si>
    <t>Domain Knowledge Accuracy</t>
  </si>
  <si>
    <t>Personalized Content Creation</t>
  </si>
  <si>
    <t>Higher-Order Thinking &amp; Skill Development</t>
  </si>
  <si>
    <t>Chinese</t>
  </si>
  <si>
    <t>English</t>
  </si>
  <si>
    <t>design</t>
  </si>
  <si>
    <t>error correct</t>
  </si>
  <si>
    <t>helper</t>
  </si>
  <si>
    <t>judge</t>
  </si>
  <si>
    <t>material</t>
  </si>
  <si>
    <t>mood</t>
  </si>
  <si>
    <t>qa</t>
  </si>
  <si>
    <t>q gen</t>
  </si>
  <si>
    <t>student profile</t>
  </si>
  <si>
    <t>Role &amp; Tone Consistency</t>
  </si>
  <si>
    <t>Personalization, Adaptation &amp; Learning Support</t>
  </si>
  <si>
    <t>grade</t>
  </si>
  <si>
    <t>question</t>
  </si>
  <si>
    <t>language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</si>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</sst>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8"/>
      <name val="Consolas"/>
      <charset val="134"/>
    </font>
    <font>
      <sz val="11"/>
      <name val="等线"/>
      <charset val="134"/>
      <scheme val="minor"/>
    </font>
    <font>
      <sz val="8"/>
      <color rgb="FFCE9178"/>
      <name val="Consolas"/>
      <charset val="134"/>
    </font>
    <font>
      <sz val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CBCBC"/>
      <color rgb="00F19E65"/>
      <color rgb="00C5E0B4"/>
      <color rgb="00A9D18E"/>
      <color rgb="0092D050"/>
      <color rgb="0087BF61"/>
      <color rgb="005B9BD5"/>
      <color rgb="009DC3E6"/>
      <color rgb="00BDD7EE"/>
      <color rgb="00DEEB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Sheet1!$C$6:$C$11</c:f>
              <c:numCache>
                <c:formatCode>General</c:formatCode>
                <c:ptCount val="6"/>
                <c:pt idx="0">
                  <c:v>8380</c:v>
                </c:pt>
                <c:pt idx="5">
                  <c:v>7869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6166fb-d154-4421-a3d3-d7770976a3c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8536547783245"/>
          <c:y val="0.0790111670435769"/>
          <c:w val="0.481609839435734"/>
          <c:h val="0.920988832956423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Sheet1!$F$34:$F$51</c:f>
              <c:strCache>
                <c:ptCount val="18"/>
                <c:pt idx="0">
                  <c:v>k12</c:v>
                </c:pt>
                <c:pt idx="1">
                  <c:v>higher education</c:v>
                </c:pt>
                <c:pt idx="2">
                  <c:v>k12</c:v>
                </c:pt>
                <c:pt idx="3">
                  <c:v>higher education</c:v>
                </c:pt>
                <c:pt idx="4">
                  <c:v>k12</c:v>
                </c:pt>
                <c:pt idx="5">
                  <c:v>higher education</c:v>
                </c:pt>
                <c:pt idx="6">
                  <c:v>k12</c:v>
                </c:pt>
                <c:pt idx="7">
                  <c:v>higher education</c:v>
                </c:pt>
                <c:pt idx="8">
                  <c:v>k12</c:v>
                </c:pt>
                <c:pt idx="9">
                  <c:v>higher education</c:v>
                </c:pt>
                <c:pt idx="10">
                  <c:v>k12</c:v>
                </c:pt>
                <c:pt idx="11">
                  <c:v>higher education</c:v>
                </c:pt>
                <c:pt idx="12">
                  <c:v>k12</c:v>
                </c:pt>
                <c:pt idx="13">
                  <c:v>higher education</c:v>
                </c:pt>
                <c:pt idx="14">
                  <c:v>k12</c:v>
                </c:pt>
                <c:pt idx="15">
                  <c:v>higher education</c:v>
                </c:pt>
                <c:pt idx="16">
                  <c:v>k12</c:v>
                </c:pt>
                <c:pt idx="17">
                  <c:v>higher education</c:v>
                </c:pt>
              </c:strCache>
            </c:strRef>
          </c:cat>
          <c:val>
            <c:numRef>
              <c:f>Sheet1!$G$34:$G$51</c:f>
              <c:numCache>
                <c:formatCode>General</c:formatCode>
                <c:ptCount val="18"/>
                <c:pt idx="0">
                  <c:v>597</c:v>
                </c:pt>
                <c:pt idx="1">
                  <c:v>1742</c:v>
                </c:pt>
                <c:pt idx="2">
                  <c:v>414</c:v>
                </c:pt>
                <c:pt idx="3">
                  <c:v>1246</c:v>
                </c:pt>
                <c:pt idx="4">
                  <c:v>604</c:v>
                </c:pt>
                <c:pt idx="5">
                  <c:v>1704</c:v>
                </c:pt>
                <c:pt idx="6">
                  <c:v>126</c:v>
                </c:pt>
                <c:pt idx="7">
                  <c:v>191</c:v>
                </c:pt>
                <c:pt idx="8">
                  <c:v>634</c:v>
                </c:pt>
                <c:pt idx="9">
                  <c:v>1767</c:v>
                </c:pt>
                <c:pt idx="10">
                  <c:v>668</c:v>
                </c:pt>
                <c:pt idx="11">
                  <c:v>1919</c:v>
                </c:pt>
                <c:pt idx="12">
                  <c:v>604</c:v>
                </c:pt>
                <c:pt idx="13">
                  <c:v>1356</c:v>
                </c:pt>
                <c:pt idx="14">
                  <c:v>654</c:v>
                </c:pt>
                <c:pt idx="15">
                  <c:v>1861</c:v>
                </c:pt>
                <c:pt idx="16">
                  <c:v>164</c:v>
                </c:pt>
                <c:pt idx="17">
                  <c:v>739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5a0fe7-f15a-49b8-a83f-5b0c90306c2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Sheet1!$D$34:$D$50</c:f>
              <c:strCache>
                <c:ptCount val="17"/>
                <c:pt idx="0">
                  <c:v>Problem Solving</c:v>
                </c:pt>
                <c:pt idx="2">
                  <c:v>Error Correction</c:v>
                </c:pt>
                <c:pt idx="4">
                  <c:v>Question Answering</c:v>
                </c:pt>
                <c:pt idx="6">
                  <c:v>Personalized Learning Support</c:v>
                </c:pt>
                <c:pt idx="8">
                  <c:v>Emotional Support</c:v>
                </c:pt>
                <c:pt idx="10">
                  <c:v>Question Generation</c:v>
                </c:pt>
                <c:pt idx="12">
                  <c:v>Automatic Grading</c:v>
                </c:pt>
                <c:pt idx="14">
                  <c:v>Teaching Material Generation</c:v>
                </c:pt>
                <c:pt idx="16">
                  <c:v>Personalized Content Creation</c:v>
                </c:pt>
              </c:strCache>
            </c:strRef>
          </c:cat>
          <c:val>
            <c:numRef>
              <c:f>Sheet1!$E$34:$E$50</c:f>
              <c:numCache>
                <c:formatCode>General</c:formatCode>
                <c:ptCount val="17"/>
                <c:pt idx="0">
                  <c:v>2339</c:v>
                </c:pt>
                <c:pt idx="2">
                  <c:v>1660</c:v>
                </c:pt>
                <c:pt idx="4">
                  <c:v>2308</c:v>
                </c:pt>
                <c:pt idx="6">
                  <c:v>317</c:v>
                </c:pt>
                <c:pt idx="8">
                  <c:v>2401</c:v>
                </c:pt>
                <c:pt idx="10">
                  <c:v>2587</c:v>
                </c:pt>
                <c:pt idx="12">
                  <c:v>1960</c:v>
                </c:pt>
                <c:pt idx="14">
                  <c:v>2515</c:v>
                </c:pt>
                <c:pt idx="16">
                  <c:v>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7a24b6-a555-44b7-a779-a7cc19f01a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666666666667"/>
          <c:y val="0.0324074074074074"/>
          <c:w val="0.538888888888889"/>
          <c:h val="0.898148148148148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C5E0B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A9D18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87BF6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rgbClr val="5B9BD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rgbClr val="9DC3E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rgbClr val="BDD7EE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rgbClr val="DEEBF7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Sheet1!$AG$9:$AG$25</c:f>
              <c:strCache>
                <c:ptCount val="17"/>
                <c:pt idx="0">
                  <c:v>Problem Solving</c:v>
                </c:pt>
                <c:pt idx="2">
                  <c:v>Error Correction</c:v>
                </c:pt>
                <c:pt idx="4">
                  <c:v>Question Answering</c:v>
                </c:pt>
                <c:pt idx="6">
                  <c:v>Personalized Learning Support</c:v>
                </c:pt>
                <c:pt idx="8">
                  <c:v>Emotional Support</c:v>
                </c:pt>
                <c:pt idx="10">
                  <c:v>Question Generation</c:v>
                </c:pt>
                <c:pt idx="12">
                  <c:v>Automatic Grading</c:v>
                </c:pt>
                <c:pt idx="14">
                  <c:v>Teaching Material Generation</c:v>
                </c:pt>
                <c:pt idx="16">
                  <c:v>Personalized Content Creation</c:v>
                </c:pt>
              </c:strCache>
            </c:strRef>
          </c:cat>
          <c:val>
            <c:numRef>
              <c:f>Sheet1!$AH$9:$AH$25</c:f>
              <c:numCache>
                <c:formatCode>General</c:formatCode>
                <c:ptCount val="17"/>
                <c:pt idx="0">
                  <c:v>2339</c:v>
                </c:pt>
                <c:pt idx="2">
                  <c:v>1660</c:v>
                </c:pt>
                <c:pt idx="4">
                  <c:v>2308</c:v>
                </c:pt>
                <c:pt idx="6">
                  <c:v>1822</c:v>
                </c:pt>
                <c:pt idx="8">
                  <c:v>2401</c:v>
                </c:pt>
                <c:pt idx="10">
                  <c:v>2587</c:v>
                </c:pt>
                <c:pt idx="12">
                  <c:v>1960</c:v>
                </c:pt>
                <c:pt idx="14">
                  <c:v>2515</c:v>
                </c:pt>
                <c:pt idx="16">
                  <c:v>1794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13610cd-962e-4e1b-8355-a613390c86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Sheet1!$AF$9:$AF$19</c:f>
              <c:numCache>
                <c:formatCode>General</c:formatCode>
                <c:ptCount val="11"/>
                <c:pt idx="0">
                  <c:v>10530</c:v>
                </c:pt>
                <c:pt idx="10">
                  <c:v>8856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a1b94cb-f449-43b5-bd24-82c1e26f3f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9622129423111"/>
          <c:y val="0.0342816889021631"/>
          <c:w val="0.455480642579175"/>
          <c:h val="0.687731343712462"/>
        </c:manualLayout>
      </c:layout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rgbClr val="BCBCB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rgbClr val="BCBCB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rgbClr val="C8C8C8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rgbClr val="BCBCB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rgbClr val="BCBCB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rgbClr val="F19E6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Sheet1!$AQ$9:$AQ$60</c:f>
              <c:strCache>
                <c:ptCount val="52"/>
                <c:pt idx="0">
                  <c:v>Instruction Following &amp; Task Completion</c:v>
                </c:pt>
                <c:pt idx="1">
                  <c:v>Content Relevance &amp; Scope Control</c:v>
                </c:pt>
                <c:pt idx="2">
                  <c:v>Scenario Element Integration</c:v>
                </c:pt>
                <c:pt idx="3">
                  <c:v>Basic Factual Accuracy</c:v>
                </c:pt>
                <c:pt idx="4">
                  <c:v>Domain Knowledge Accuracy</c:v>
                </c:pt>
                <c:pt idx="5">
                  <c:v>Reasoning Process Rigor</c:v>
                </c:pt>
                <c:pt idx="6">
                  <c:v>Clarity, Simplicity &amp; Inspiration</c:v>
                </c:pt>
                <c:pt idx="7">
                  <c:v>Higher-Order Thinking &amp; Skill Development</c:v>
                </c:pt>
                <c:pt idx="8">
                  <c:v>Instruction Following &amp; Task Completion</c:v>
                </c:pt>
                <c:pt idx="9">
                  <c:v>Scenario Element Integration</c:v>
                </c:pt>
                <c:pt idx="10">
                  <c:v>Basic Factual Accuracy</c:v>
                </c:pt>
                <c:pt idx="11">
                  <c:v>Reasoning Process Rigor</c:v>
                </c:pt>
                <c:pt idx="12">
                  <c:v>Error Identification &amp; Correction Precision</c:v>
                </c:pt>
                <c:pt idx="13">
                  <c:v>Clarity, Simplicity &amp; Inspiration</c:v>
                </c:pt>
                <c:pt idx="14">
                  <c:v>Motivation, Guidance &amp; Positive Feedback</c:v>
                </c:pt>
                <c:pt idx="15">
                  <c:v>Instruction Following &amp; Task Completion</c:v>
                </c:pt>
                <c:pt idx="16">
                  <c:v>Content Relevance &amp; Scope Control</c:v>
                </c:pt>
                <c:pt idx="17">
                  <c:v>Basic Factual Accuracy</c:v>
                </c:pt>
                <c:pt idx="18">
                  <c:v>Reasoning Process Rigor</c:v>
                </c:pt>
                <c:pt idx="19">
                  <c:v>Instruction Following &amp; Task Completion</c:v>
                </c:pt>
                <c:pt idx="20">
                  <c:v>Role &amp; Tone Consistency</c:v>
                </c:pt>
                <c:pt idx="21">
                  <c:v>Scenario Element Integration</c:v>
                </c:pt>
                <c:pt idx="22">
                  <c:v>Personalization, Adaptation &amp; Learning Support</c:v>
                </c:pt>
                <c:pt idx="23">
                  <c:v>Higher-Order Thinking &amp; Skill Development</c:v>
                </c:pt>
                <c:pt idx="24">
                  <c:v>Instruction Following &amp; Task Completion</c:v>
                </c:pt>
                <c:pt idx="25">
                  <c:v>Role &amp; Tone Consistency</c:v>
                </c:pt>
                <c:pt idx="26">
                  <c:v>Scenario Element Integration</c:v>
                </c:pt>
                <c:pt idx="27">
                  <c:v>Motivation, Guidance &amp; Positive Feedback</c:v>
                </c:pt>
                <c:pt idx="28">
                  <c:v>Personalization, Adaptation &amp; Learning Support</c:v>
                </c:pt>
                <c:pt idx="29">
                  <c:v>Instruction Following &amp; Task Completion</c:v>
                </c:pt>
                <c:pt idx="30">
                  <c:v>Content Relevance &amp; Scope Control</c:v>
                </c:pt>
                <c:pt idx="31">
                  <c:v>Scenario Element Integration</c:v>
                </c:pt>
                <c:pt idx="32">
                  <c:v>Basic Factual Accuracy</c:v>
                </c:pt>
                <c:pt idx="33">
                  <c:v>Domain Knowledge Accuracy</c:v>
                </c:pt>
                <c:pt idx="34">
                  <c:v>Clarity, Simplicity &amp; Inspiration</c:v>
                </c:pt>
                <c:pt idx="35">
                  <c:v>Higher-Order Thinking &amp; Skill Development</c:v>
                </c:pt>
                <c:pt idx="36">
                  <c:v>Instruction Following &amp; Task Completion</c:v>
                </c:pt>
                <c:pt idx="37">
                  <c:v>Content Relevance &amp; Scope Control</c:v>
                </c:pt>
                <c:pt idx="38">
                  <c:v>Basic Factual Accuracy</c:v>
                </c:pt>
                <c:pt idx="39">
                  <c:v>Reasoning Process Rigor</c:v>
                </c:pt>
                <c:pt idx="40">
                  <c:v>Error Identification &amp; Correction Precision</c:v>
                </c:pt>
                <c:pt idx="41">
                  <c:v>Motivation, Guidance &amp; Positive Feedback</c:v>
                </c:pt>
                <c:pt idx="42">
                  <c:v>Instruction Following &amp; Task Completion</c:v>
                </c:pt>
                <c:pt idx="43">
                  <c:v>Role &amp; Tone Consistency</c:v>
                </c:pt>
                <c:pt idx="44">
                  <c:v>Content Relevance &amp; Scope Control</c:v>
                </c:pt>
                <c:pt idx="45">
                  <c:v>Basic Factual Accuracy</c:v>
                </c:pt>
                <c:pt idx="46">
                  <c:v>Domain Knowledge Accuracy</c:v>
                </c:pt>
                <c:pt idx="47">
                  <c:v>Clarity, Simplicity &amp; Inspiration</c:v>
                </c:pt>
                <c:pt idx="48">
                  <c:v>Higher-Order Thinking &amp; Skill Development</c:v>
                </c:pt>
                <c:pt idx="49">
                  <c:v>Instruction Following &amp; Task Completion</c:v>
                </c:pt>
                <c:pt idx="50">
                  <c:v>Scenario Element Integration</c:v>
                </c:pt>
                <c:pt idx="51">
                  <c:v>Personalization, Adaptation &amp; Learning Support</c:v>
                </c:pt>
              </c:strCache>
            </c:strRef>
          </c:cat>
          <c:val>
            <c:numRef>
              <c:f>Sheet1!$AR$9:$AR$60</c:f>
              <c:numCache>
                <c:formatCode>General</c:formatCode>
                <c:ptCount val="52"/>
                <c:pt idx="0">
                  <c:v>292.375</c:v>
                </c:pt>
                <c:pt idx="1">
                  <c:v>292.375</c:v>
                </c:pt>
                <c:pt idx="2">
                  <c:v>292.375</c:v>
                </c:pt>
                <c:pt idx="3">
                  <c:v>292.375</c:v>
                </c:pt>
                <c:pt idx="4">
                  <c:v>292.375</c:v>
                </c:pt>
                <c:pt idx="5">
                  <c:v>292.375</c:v>
                </c:pt>
                <c:pt idx="6">
                  <c:v>292.375</c:v>
                </c:pt>
                <c:pt idx="7">
                  <c:v>292.375</c:v>
                </c:pt>
                <c:pt idx="8">
                  <c:v>237.142857142857</c:v>
                </c:pt>
                <c:pt idx="9">
                  <c:v>237.142857142857</c:v>
                </c:pt>
                <c:pt idx="10">
                  <c:v>237.1429</c:v>
                </c:pt>
                <c:pt idx="11">
                  <c:v>237.1429</c:v>
                </c:pt>
                <c:pt idx="12">
                  <c:v>237.1429</c:v>
                </c:pt>
                <c:pt idx="13">
                  <c:v>237.1429</c:v>
                </c:pt>
                <c:pt idx="14">
                  <c:v>237.1429</c:v>
                </c:pt>
                <c:pt idx="15">
                  <c:v>577</c:v>
                </c:pt>
                <c:pt idx="16">
                  <c:v>577</c:v>
                </c:pt>
                <c:pt idx="17">
                  <c:v>577</c:v>
                </c:pt>
                <c:pt idx="18">
                  <c:v>577</c:v>
                </c:pt>
                <c:pt idx="19">
                  <c:v>364.4</c:v>
                </c:pt>
                <c:pt idx="20">
                  <c:v>364.4</c:v>
                </c:pt>
                <c:pt idx="21">
                  <c:v>364.4</c:v>
                </c:pt>
                <c:pt idx="22">
                  <c:v>364.4</c:v>
                </c:pt>
                <c:pt idx="23">
                  <c:v>364.4</c:v>
                </c:pt>
                <c:pt idx="24">
                  <c:v>480.2</c:v>
                </c:pt>
                <c:pt idx="25">
                  <c:v>480.2</c:v>
                </c:pt>
                <c:pt idx="26">
                  <c:v>480.2</c:v>
                </c:pt>
                <c:pt idx="27">
                  <c:v>480.2</c:v>
                </c:pt>
                <c:pt idx="28">
                  <c:v>480.2</c:v>
                </c:pt>
                <c:pt idx="29">
                  <c:v>369.571428571429</c:v>
                </c:pt>
                <c:pt idx="30">
                  <c:v>369.571428571429</c:v>
                </c:pt>
                <c:pt idx="31">
                  <c:v>369.571428571429</c:v>
                </c:pt>
                <c:pt idx="32">
                  <c:v>369.571428571429</c:v>
                </c:pt>
                <c:pt idx="33">
                  <c:v>369.571428571429</c:v>
                </c:pt>
                <c:pt idx="34">
                  <c:v>369.571428571429</c:v>
                </c:pt>
                <c:pt idx="35">
                  <c:v>369.571428571429</c:v>
                </c:pt>
                <c:pt idx="36">
                  <c:v>326.666666666667</c:v>
                </c:pt>
                <c:pt idx="37">
                  <c:v>326.6667</c:v>
                </c:pt>
                <c:pt idx="38">
                  <c:v>326.6667</c:v>
                </c:pt>
                <c:pt idx="39">
                  <c:v>326.6667</c:v>
                </c:pt>
                <c:pt idx="40">
                  <c:v>326.6667</c:v>
                </c:pt>
                <c:pt idx="41">
                  <c:v>326.6667</c:v>
                </c:pt>
                <c:pt idx="42">
                  <c:v>359.285714285714</c:v>
                </c:pt>
                <c:pt idx="43">
                  <c:v>359.285714285714</c:v>
                </c:pt>
                <c:pt idx="44">
                  <c:v>359.285714285714</c:v>
                </c:pt>
                <c:pt idx="45">
                  <c:v>359.285714285714</c:v>
                </c:pt>
                <c:pt idx="46">
                  <c:v>359.285714285714</c:v>
                </c:pt>
                <c:pt idx="47">
                  <c:v>359.285714285714</c:v>
                </c:pt>
                <c:pt idx="48">
                  <c:v>359.285714285714</c:v>
                </c:pt>
                <c:pt idx="49">
                  <c:v>598</c:v>
                </c:pt>
                <c:pt idx="50">
                  <c:v>598</c:v>
                </c:pt>
                <c:pt idx="51">
                  <c:v>598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1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legendEntry>
        <c:idx val="26"/>
        <c:delete val="1"/>
      </c:legendEntry>
      <c:legendEntry>
        <c:idx val="27"/>
        <c:delete val="1"/>
      </c:legendEntry>
      <c:legendEntry>
        <c:idx val="28"/>
        <c:delete val="1"/>
      </c:legendEntry>
      <c:legendEntry>
        <c:idx val="29"/>
        <c:delete val="1"/>
      </c:legendEntry>
      <c:legendEntry>
        <c:idx val="31"/>
        <c:delete val="1"/>
      </c:legendEntry>
      <c:legendEntry>
        <c:idx val="32"/>
        <c:delete val="1"/>
      </c:legendEntry>
      <c:legendEntry>
        <c:idx val="34"/>
        <c:delete val="1"/>
      </c:legendEntry>
      <c:legendEntry>
        <c:idx val="36"/>
        <c:delete val="1"/>
      </c:legendEntry>
      <c:legendEntry>
        <c:idx val="37"/>
        <c:delete val="1"/>
      </c:legendEntry>
      <c:legendEntry>
        <c:idx val="38"/>
        <c:delete val="1"/>
      </c:legendEntry>
      <c:legendEntry>
        <c:idx val="39"/>
        <c:delete val="1"/>
      </c:legendEntry>
      <c:legendEntry>
        <c:idx val="40"/>
        <c:delete val="1"/>
      </c:legendEntry>
      <c:legendEntry>
        <c:idx val="42"/>
        <c:delete val="1"/>
      </c:legendEntry>
      <c:legendEntry>
        <c:idx val="43"/>
        <c:delete val="1"/>
      </c:legendEntry>
      <c:legendEntry>
        <c:idx val="44"/>
        <c:delete val="1"/>
      </c:legendEntry>
      <c:legendEntry>
        <c:idx val="45"/>
        <c:delete val="1"/>
      </c:legendEntry>
      <c:legendEntry>
        <c:idx val="46"/>
        <c:delete val="1"/>
      </c:legendEntry>
      <c:legendEntry>
        <c:idx val="47"/>
        <c:delete val="1"/>
      </c:legendEntry>
      <c:legendEntry>
        <c:idx val="48"/>
        <c:delete val="1"/>
      </c:legendEntry>
      <c:legendEntry>
        <c:idx val="49"/>
        <c:delete val="1"/>
      </c:legendEntry>
      <c:legendEntry>
        <c:idx val="50"/>
        <c:delete val="1"/>
      </c:legendEntry>
      <c:layout>
        <c:manualLayout>
          <c:xMode val="edge"/>
          <c:yMode val="edge"/>
          <c:x val="0.0947192807257739"/>
          <c:y val="0.745931600454293"/>
          <c:w val="0.809003743918727"/>
          <c:h val="0.2536580268741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45eea2-7fa9-4409-8944-0dd425e854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20000"/>
                <a:lumOff val="80000"/>
              </a:schemeClr>
            </a:solidFill>
          </c:spPr>
          <c:explosion val="3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Sheet1!$AO$75:$AO$78</c:f>
              <c:strCache>
                <c:ptCount val="4"/>
                <c:pt idx="0">
                  <c:v>grade</c:v>
                </c:pt>
                <c:pt idx="1">
                  <c:v>question</c:v>
                </c:pt>
                <c:pt idx="2">
                  <c:v>language</c:v>
                </c:pt>
                <c:pt idx="3">
                  <c:v>difficulty</c:v>
                </c:pt>
              </c:strCache>
            </c:strRef>
          </c:cat>
          <c:val>
            <c:numRef>
              <c:f>Sheet1!$AP$75:$AP$78</c:f>
              <c:numCache>
                <c:formatCode>General</c:formatCode>
                <c:ptCount val="4"/>
                <c:pt idx="0">
                  <c:v>7</c:v>
                </c:pt>
                <c:pt idx="1">
                  <c:v>2.5</c:v>
                </c:pt>
                <c:pt idx="2">
                  <c:v>0.7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6fca20-daba-4d0c-a32e-5320646df2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363465</xdr:colOff>
      <xdr:row>7</xdr:row>
      <xdr:rowOff>34205</xdr:rowOff>
    </xdr:from>
    <xdr:to>
      <xdr:col>25</xdr:col>
      <xdr:colOff>218175</xdr:colOff>
      <xdr:row>22</xdr:row>
      <xdr:rowOff>79748</xdr:rowOff>
    </xdr:to>
    <xdr:graphicFrame>
      <xdr:nvGraphicFramePr>
        <xdr:cNvPr id="11" name="图表 10"/>
        <xdr:cNvGraphicFramePr/>
      </xdr:nvGraphicFramePr>
      <xdr:xfrm>
        <a:off x="16987520" y="2027555"/>
        <a:ext cx="5340985" cy="2890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286160</xdr:colOff>
      <xdr:row>40</xdr:row>
      <xdr:rowOff>116277</xdr:rowOff>
    </xdr:from>
    <xdr:to>
      <xdr:col>26</xdr:col>
      <xdr:colOff>467590</xdr:colOff>
      <xdr:row>61</xdr:row>
      <xdr:rowOff>15668</xdr:rowOff>
    </xdr:to>
    <xdr:graphicFrame>
      <xdr:nvGraphicFramePr>
        <xdr:cNvPr id="2" name="图表 1"/>
        <xdr:cNvGraphicFramePr/>
      </xdr:nvGraphicFramePr>
      <xdr:xfrm>
        <a:off x="16224250" y="8155305"/>
        <a:ext cx="7039610" cy="3632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122052</xdr:colOff>
      <xdr:row>24</xdr:row>
      <xdr:rowOff>170130</xdr:rowOff>
    </xdr:from>
    <xdr:to>
      <xdr:col>25</xdr:col>
      <xdr:colOff>58551</xdr:colOff>
      <xdr:row>40</xdr:row>
      <xdr:rowOff>18720</xdr:rowOff>
    </xdr:to>
    <xdr:graphicFrame>
      <xdr:nvGraphicFramePr>
        <xdr:cNvPr id="9" name="图表 8"/>
        <xdr:cNvGraphicFramePr/>
      </xdr:nvGraphicFramePr>
      <xdr:xfrm>
        <a:off x="17432020" y="5363845"/>
        <a:ext cx="4737100" cy="26936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39172</xdr:colOff>
      <xdr:row>51</xdr:row>
      <xdr:rowOff>173016</xdr:rowOff>
    </xdr:from>
    <xdr:to>
      <xdr:col>33</xdr:col>
      <xdr:colOff>796637</xdr:colOff>
      <xdr:row>67</xdr:row>
      <xdr:rowOff>20163</xdr:rowOff>
    </xdr:to>
    <xdr:graphicFrame>
      <xdr:nvGraphicFramePr>
        <xdr:cNvPr id="15" name="图表 14"/>
        <xdr:cNvGraphicFramePr/>
      </xdr:nvGraphicFramePr>
      <xdr:xfrm>
        <a:off x="24892635" y="10167620"/>
        <a:ext cx="4612005" cy="26917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472952</xdr:colOff>
      <xdr:row>32</xdr:row>
      <xdr:rowOff>47666</xdr:rowOff>
    </xdr:from>
    <xdr:to>
      <xdr:col>33</xdr:col>
      <xdr:colOff>550265</xdr:colOff>
      <xdr:row>47</xdr:row>
      <xdr:rowOff>69437</xdr:rowOff>
    </xdr:to>
    <xdr:graphicFrame>
      <xdr:nvGraphicFramePr>
        <xdr:cNvPr id="16" name="图表 15"/>
        <xdr:cNvGraphicFramePr/>
      </xdr:nvGraphicFramePr>
      <xdr:xfrm>
        <a:off x="24640540" y="6664325"/>
        <a:ext cx="4617720" cy="26885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191185</xdr:colOff>
      <xdr:row>109</xdr:row>
      <xdr:rowOff>133942</xdr:rowOff>
    </xdr:from>
    <xdr:to>
      <xdr:col>46</xdr:col>
      <xdr:colOff>513471</xdr:colOff>
      <xdr:row>112</xdr:row>
      <xdr:rowOff>14506</xdr:rowOff>
    </xdr:to>
    <xdr:sp>
      <xdr:nvSpPr>
        <xdr:cNvPr id="22" name="文本框 2"/>
        <xdr:cNvSpPr txBox="1"/>
      </xdr:nvSpPr>
      <xdr:spPr>
        <a:xfrm>
          <a:off x="36868735" y="20440650"/>
          <a:ext cx="2658745" cy="414020"/>
        </a:xfrm>
        <a:prstGeom prst="rect">
          <a:avLst/>
        </a:prstGeom>
        <a:noFill/>
      </xdr:spPr>
      <xdr:txBody>
        <a:bodyPr wrap="square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2000">
              <a:solidFill>
                <a:schemeClr val="bg1"/>
              </a:solidFill>
            </a:rPr>
            <a:t>student</a:t>
          </a:r>
          <a:endParaRPr lang="zh-CN" altLang="en-US" sz="2000">
            <a:solidFill>
              <a:schemeClr val="bg1"/>
            </a:solidFill>
          </a:endParaRPr>
        </a:p>
      </xdr:txBody>
    </xdr:sp>
    <xdr:clientData/>
  </xdr:twoCellAnchor>
  <xdr:twoCellAnchor>
    <xdr:from>
      <xdr:col>46</xdr:col>
      <xdr:colOff>46180</xdr:colOff>
      <xdr:row>8</xdr:row>
      <xdr:rowOff>314035</xdr:rowOff>
    </xdr:from>
    <xdr:to>
      <xdr:col>56</xdr:col>
      <xdr:colOff>63500</xdr:colOff>
      <xdr:row>33</xdr:row>
      <xdr:rowOff>0</xdr:rowOff>
    </xdr:to>
    <xdr:graphicFrame>
      <xdr:nvGraphicFramePr>
        <xdr:cNvPr id="3" name="图表 2"/>
        <xdr:cNvGraphicFramePr/>
      </xdr:nvGraphicFramePr>
      <xdr:xfrm>
        <a:off x="39060120" y="2485390"/>
        <a:ext cx="9091930" cy="4309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46</xdr:col>
      <xdr:colOff>667369</xdr:colOff>
      <xdr:row>42</xdr:row>
      <xdr:rowOff>66426</xdr:rowOff>
    </xdr:from>
    <xdr:to>
      <xdr:col>53</xdr:col>
      <xdr:colOff>381001</xdr:colOff>
      <xdr:row>61</xdr:row>
      <xdr:rowOff>63500</xdr:rowOff>
    </xdr:to>
    <xdr:graphicFrame>
      <xdr:nvGraphicFramePr>
        <xdr:cNvPr id="4" name="图表 3"/>
        <xdr:cNvGraphicFramePr/>
      </xdr:nvGraphicFramePr>
      <xdr:xfrm>
        <a:off x="39681150" y="8460740"/>
        <a:ext cx="6731000" cy="3375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T101"/>
  <sheetViews>
    <sheetView tabSelected="1" topLeftCell="A14" workbookViewId="0">
      <selection activeCell="J30" sqref="J30"/>
    </sheetView>
  </sheetViews>
  <sheetFormatPr defaultColWidth="9" defaultRowHeight="14"/>
  <cols>
    <col min="2" max="2" width="27.5" customWidth="1"/>
    <col min="3" max="3" width="12.0833333333333" customWidth="1"/>
    <col min="4" max="4" width="26.25" customWidth="1"/>
    <col min="5" max="5" width="11.5" customWidth="1"/>
    <col min="6" max="6" width="15.5" customWidth="1"/>
    <col min="7" max="7" width="7.66666666666667" customWidth="1"/>
    <col min="10" max="10" width="18.1666666666667" customWidth="1"/>
    <col min="11" max="11" width="18.5" customWidth="1"/>
    <col min="32" max="32" width="12" customWidth="1"/>
    <col min="33" max="33" width="20.5833333333333" customWidth="1"/>
    <col min="34" max="34" width="11.25" customWidth="1"/>
    <col min="35" max="35" width="21.3333333333333" customWidth="1"/>
    <col min="44" max="44" width="12.6666666666667"/>
    <col min="47" max="47" width="18.5833333333333" customWidth="1"/>
    <col min="50" max="50" width="28.5" customWidth="1"/>
  </cols>
  <sheetData>
    <row r="4" ht="43.5" customHeight="1" spans="1:9">
      <c r="A4" s="1"/>
      <c r="B4" s="1"/>
      <c r="E4" s="1"/>
      <c r="G4" s="1"/>
      <c r="I4" s="1"/>
    </row>
    <row r="5" ht="43.5" customHeight="1" spans="1:9">
      <c r="A5" s="1"/>
      <c r="B5" s="1"/>
      <c r="E5" s="1"/>
      <c r="G5" s="1"/>
      <c r="I5" s="1"/>
    </row>
    <row r="6" spans="1:14">
      <c r="A6" s="1"/>
      <c r="B6" s="1" t="s">
        <v>0</v>
      </c>
      <c r="C6">
        <f>SUM(E6:E10)</f>
        <v>8380</v>
      </c>
      <c r="D6" t="s">
        <v>1</v>
      </c>
      <c r="E6">
        <f>D22+E22</f>
        <v>2339</v>
      </c>
      <c r="K6" t="s">
        <v>2</v>
      </c>
      <c r="L6">
        <f>SUM(N6:N12)</f>
        <v>7</v>
      </c>
      <c r="M6" s="3" t="s">
        <v>3</v>
      </c>
      <c r="N6">
        <v>1</v>
      </c>
    </row>
    <row r="7" spans="1:14">
      <c r="A7" s="1"/>
      <c r="B7" s="1"/>
      <c r="D7" t="s">
        <v>2</v>
      </c>
      <c r="E7">
        <f>D21+E21</f>
        <v>1660</v>
      </c>
      <c r="I7" s="1"/>
      <c r="M7" s="3" t="s">
        <v>4</v>
      </c>
      <c r="N7">
        <v>1</v>
      </c>
    </row>
    <row r="8" spans="1:46">
      <c r="A8" s="1"/>
      <c r="B8" s="1"/>
      <c r="D8" t="s">
        <v>5</v>
      </c>
      <c r="E8">
        <f>D26+E26</f>
        <v>2308</v>
      </c>
      <c r="I8" s="1"/>
      <c r="M8" s="3" t="s">
        <v>6</v>
      </c>
      <c r="N8">
        <v>1</v>
      </c>
      <c r="AJ8" t="s">
        <v>7</v>
      </c>
      <c r="AK8" t="s">
        <v>8</v>
      </c>
      <c r="AL8" t="s">
        <v>9</v>
      </c>
      <c r="AT8">
        <v>7</v>
      </c>
    </row>
    <row r="9" ht="28" spans="1:44">
      <c r="A9" s="1"/>
      <c r="B9" s="1"/>
      <c r="D9" t="s">
        <v>10</v>
      </c>
      <c r="E9">
        <f>D20+E20</f>
        <v>413</v>
      </c>
      <c r="I9" s="1"/>
      <c r="M9" s="3" t="s">
        <v>11</v>
      </c>
      <c r="N9">
        <v>1</v>
      </c>
      <c r="AE9" s="1" t="s">
        <v>0</v>
      </c>
      <c r="AF9">
        <f>AH9+AH11+AH13+AH15+AH17</f>
        <v>10530</v>
      </c>
      <c r="AG9" t="s">
        <v>1</v>
      </c>
      <c r="AH9">
        <f>AJ9+AJ10</f>
        <v>2339</v>
      </c>
      <c r="AI9" t="s">
        <v>12</v>
      </c>
      <c r="AJ9">
        <f>AK9+AL9</f>
        <v>597</v>
      </c>
      <c r="AK9">
        <v>284</v>
      </c>
      <c r="AL9">
        <v>313</v>
      </c>
      <c r="AN9">
        <v>8</v>
      </c>
      <c r="AO9" s="6" t="s">
        <v>1</v>
      </c>
      <c r="AP9" s="6">
        <v>2339</v>
      </c>
      <c r="AQ9" s="7" t="s">
        <v>3</v>
      </c>
      <c r="AR9">
        <f>AP9/AN9</f>
        <v>292.375</v>
      </c>
    </row>
    <row r="10" spans="1:44">
      <c r="A10" s="1"/>
      <c r="B10" s="1"/>
      <c r="D10" t="s">
        <v>13</v>
      </c>
      <c r="E10">
        <f t="shared" ref="E10:E13" si="0">D21+E21</f>
        <v>1660</v>
      </c>
      <c r="I10" s="1"/>
      <c r="M10" s="3" t="s">
        <v>14</v>
      </c>
      <c r="N10">
        <v>1</v>
      </c>
      <c r="AE10" s="1"/>
      <c r="AI10" t="s">
        <v>15</v>
      </c>
      <c r="AJ10">
        <f t="shared" ref="AJ10:AJ26" si="1">AK10+AL10</f>
        <v>1742</v>
      </c>
      <c r="AK10">
        <v>771</v>
      </c>
      <c r="AL10">
        <v>971</v>
      </c>
      <c r="AO10" s="6"/>
      <c r="AP10" s="6"/>
      <c r="AQ10" s="7" t="s">
        <v>16</v>
      </c>
      <c r="AR10">
        <v>292.375</v>
      </c>
    </row>
    <row r="11" spans="2:44">
      <c r="B11" t="s">
        <v>17</v>
      </c>
      <c r="C11">
        <f>SUM(E11:E14)</f>
        <v>7869</v>
      </c>
      <c r="D11" t="s">
        <v>18</v>
      </c>
      <c r="E11">
        <f>D27+E27</f>
        <v>2587</v>
      </c>
      <c r="I11" s="1"/>
      <c r="M11" s="3" t="s">
        <v>19</v>
      </c>
      <c r="N11">
        <v>1</v>
      </c>
      <c r="AE11" s="1"/>
      <c r="AG11" t="s">
        <v>2</v>
      </c>
      <c r="AH11">
        <f>AJ11+AJ12</f>
        <v>1660</v>
      </c>
      <c r="AI11" t="s">
        <v>12</v>
      </c>
      <c r="AJ11">
        <f t="shared" si="1"/>
        <v>414</v>
      </c>
      <c r="AK11">
        <v>99</v>
      </c>
      <c r="AL11">
        <v>315</v>
      </c>
      <c r="AO11" s="6"/>
      <c r="AP11" s="6"/>
      <c r="AQ11" s="7" t="s">
        <v>4</v>
      </c>
      <c r="AR11">
        <v>292.375</v>
      </c>
    </row>
    <row r="12" spans="4:44">
      <c r="D12" t="s">
        <v>20</v>
      </c>
      <c r="E12">
        <f>D23+E23</f>
        <v>1960</v>
      </c>
      <c r="M12" s="3" t="s">
        <v>21</v>
      </c>
      <c r="N12">
        <v>1</v>
      </c>
      <c r="AE12" s="1"/>
      <c r="AI12" t="s">
        <v>15</v>
      </c>
      <c r="AJ12">
        <f t="shared" si="1"/>
        <v>1246</v>
      </c>
      <c r="AK12">
        <v>265</v>
      </c>
      <c r="AL12">
        <v>981</v>
      </c>
      <c r="AO12" s="6"/>
      <c r="AP12" s="6"/>
      <c r="AQ12" s="7" t="s">
        <v>6</v>
      </c>
      <c r="AR12">
        <v>292.375</v>
      </c>
    </row>
    <row r="13" spans="4:44">
      <c r="D13" t="s">
        <v>22</v>
      </c>
      <c r="E13">
        <f t="shared" si="0"/>
        <v>2515</v>
      </c>
      <c r="K13" t="s">
        <v>1</v>
      </c>
      <c r="L13">
        <f>SUM(N13:N20)</f>
        <v>8</v>
      </c>
      <c r="M13" s="3" t="s">
        <v>3</v>
      </c>
      <c r="N13">
        <v>1</v>
      </c>
      <c r="AE13" s="1"/>
      <c r="AG13" t="s">
        <v>5</v>
      </c>
      <c r="AH13">
        <f>AJ13+AJ14</f>
        <v>2308</v>
      </c>
      <c r="AI13" t="s">
        <v>12</v>
      </c>
      <c r="AJ13">
        <f t="shared" si="1"/>
        <v>604</v>
      </c>
      <c r="AK13">
        <v>287</v>
      </c>
      <c r="AL13">
        <v>317</v>
      </c>
      <c r="AO13" s="6"/>
      <c r="AP13" s="6"/>
      <c r="AQ13" s="7" t="s">
        <v>23</v>
      </c>
      <c r="AR13">
        <v>292.375</v>
      </c>
    </row>
    <row r="14" spans="4:44">
      <c r="D14" t="s">
        <v>24</v>
      </c>
      <c r="E14">
        <f>D28+E28</f>
        <v>807</v>
      </c>
      <c r="M14" s="3" t="s">
        <v>16</v>
      </c>
      <c r="N14">
        <v>1</v>
      </c>
      <c r="AE14" s="1"/>
      <c r="AI14" t="s">
        <v>15</v>
      </c>
      <c r="AJ14">
        <f t="shared" si="1"/>
        <v>1704</v>
      </c>
      <c r="AK14">
        <v>751</v>
      </c>
      <c r="AL14">
        <v>953</v>
      </c>
      <c r="AO14" s="6"/>
      <c r="AP14" s="6"/>
      <c r="AQ14" s="7" t="s">
        <v>11</v>
      </c>
      <c r="AR14">
        <v>292.375</v>
      </c>
    </row>
    <row r="15" spans="13:44">
      <c r="M15" s="3" t="s">
        <v>4</v>
      </c>
      <c r="N15">
        <v>1</v>
      </c>
      <c r="AE15" s="1"/>
      <c r="AG15" t="s">
        <v>10</v>
      </c>
      <c r="AH15">
        <f>AJ15+AJ16</f>
        <v>1822</v>
      </c>
      <c r="AI15" t="s">
        <v>12</v>
      </c>
      <c r="AJ15">
        <f t="shared" si="1"/>
        <v>1120</v>
      </c>
      <c r="AK15">
        <v>190</v>
      </c>
      <c r="AL15">
        <v>930</v>
      </c>
      <c r="AO15" s="6"/>
      <c r="AP15" s="6"/>
      <c r="AQ15" s="7" t="s">
        <v>19</v>
      </c>
      <c r="AR15">
        <v>292.375</v>
      </c>
    </row>
    <row r="16" spans="13:44">
      <c r="M16" s="3" t="s">
        <v>6</v>
      </c>
      <c r="N16">
        <v>1</v>
      </c>
      <c r="AE16" s="1"/>
      <c r="AI16" t="s">
        <v>15</v>
      </c>
      <c r="AJ16">
        <f t="shared" si="1"/>
        <v>702</v>
      </c>
      <c r="AK16">
        <v>570</v>
      </c>
      <c r="AL16">
        <v>132</v>
      </c>
      <c r="AO16" s="6"/>
      <c r="AP16" s="6"/>
      <c r="AQ16" s="7" t="s">
        <v>25</v>
      </c>
      <c r="AR16">
        <v>292.375</v>
      </c>
    </row>
    <row r="17" spans="13:44">
      <c r="M17" s="3" t="s">
        <v>23</v>
      </c>
      <c r="N17">
        <v>1</v>
      </c>
      <c r="AE17" s="1"/>
      <c r="AG17" t="s">
        <v>13</v>
      </c>
      <c r="AH17">
        <f>AJ17+AJ18</f>
        <v>2401</v>
      </c>
      <c r="AI17" t="s">
        <v>12</v>
      </c>
      <c r="AJ17">
        <f t="shared" si="1"/>
        <v>634</v>
      </c>
      <c r="AK17">
        <v>358</v>
      </c>
      <c r="AL17">
        <v>276</v>
      </c>
      <c r="AN17">
        <v>7</v>
      </c>
      <c r="AO17" s="6" t="s">
        <v>2</v>
      </c>
      <c r="AP17" s="6">
        <v>1660</v>
      </c>
      <c r="AQ17" s="7" t="s">
        <v>3</v>
      </c>
      <c r="AR17">
        <f>AP17/AT8</f>
        <v>237.142857142857</v>
      </c>
    </row>
    <row r="18" spans="7:44">
      <c r="G18" s="1"/>
      <c r="M18" s="3" t="s">
        <v>11</v>
      </c>
      <c r="N18">
        <v>1</v>
      </c>
      <c r="AE18" s="1"/>
      <c r="AI18" t="s">
        <v>15</v>
      </c>
      <c r="AJ18">
        <f t="shared" si="1"/>
        <v>1767</v>
      </c>
      <c r="AK18">
        <v>986</v>
      </c>
      <c r="AL18">
        <v>781</v>
      </c>
      <c r="AO18" s="6"/>
      <c r="AP18" s="6"/>
      <c r="AQ18" s="7" t="s">
        <v>4</v>
      </c>
      <c r="AR18">
        <f>AP17/AT8</f>
        <v>237.142857142857</v>
      </c>
    </row>
    <row r="19" spans="4:44">
      <c r="D19" t="s">
        <v>26</v>
      </c>
      <c r="E19" t="s">
        <v>27</v>
      </c>
      <c r="M19" s="3" t="s">
        <v>19</v>
      </c>
      <c r="N19">
        <v>1</v>
      </c>
      <c r="AE19" t="s">
        <v>17</v>
      </c>
      <c r="AF19">
        <f>AH19+AH21+AH23+AH25</f>
        <v>8856</v>
      </c>
      <c r="AG19" t="s">
        <v>18</v>
      </c>
      <c r="AH19">
        <f>AJ19+AJ20</f>
        <v>2587</v>
      </c>
      <c r="AI19" t="s">
        <v>12</v>
      </c>
      <c r="AJ19">
        <f t="shared" si="1"/>
        <v>668</v>
      </c>
      <c r="AK19">
        <v>355</v>
      </c>
      <c r="AL19">
        <v>313</v>
      </c>
      <c r="AO19" s="6"/>
      <c r="AP19" s="6"/>
      <c r="AQ19" s="7" t="s">
        <v>6</v>
      </c>
      <c r="AR19">
        <v>237.1429</v>
      </c>
    </row>
    <row r="20" spans="2:44">
      <c r="B20" t="s">
        <v>10</v>
      </c>
      <c r="C20" t="s">
        <v>28</v>
      </c>
      <c r="D20">
        <v>78</v>
      </c>
      <c r="E20">
        <v>335</v>
      </c>
      <c r="M20" s="3" t="s">
        <v>25</v>
      </c>
      <c r="N20">
        <v>1</v>
      </c>
      <c r="AI20" t="s">
        <v>15</v>
      </c>
      <c r="AJ20">
        <f t="shared" si="1"/>
        <v>1919</v>
      </c>
      <c r="AK20">
        <v>949</v>
      </c>
      <c r="AL20">
        <v>970</v>
      </c>
      <c r="AO20" s="6"/>
      <c r="AP20" s="6"/>
      <c r="AQ20" s="7" t="s">
        <v>11</v>
      </c>
      <c r="AR20">
        <v>237.1429</v>
      </c>
    </row>
    <row r="21" spans="2:44">
      <c r="B21" t="s">
        <v>2</v>
      </c>
      <c r="C21" t="s">
        <v>29</v>
      </c>
      <c r="D21">
        <v>364</v>
      </c>
      <c r="E21">
        <v>1296</v>
      </c>
      <c r="K21" t="s">
        <v>20</v>
      </c>
      <c r="L21">
        <f>SUM(N21:N26)</f>
        <v>6</v>
      </c>
      <c r="M21" s="3" t="s">
        <v>3</v>
      </c>
      <c r="N21">
        <v>1</v>
      </c>
      <c r="AG21" t="s">
        <v>20</v>
      </c>
      <c r="AH21">
        <f>AJ21+AJ22</f>
        <v>1960</v>
      </c>
      <c r="AI21" t="s">
        <v>12</v>
      </c>
      <c r="AJ21">
        <f t="shared" si="1"/>
        <v>604</v>
      </c>
      <c r="AK21">
        <v>350</v>
      </c>
      <c r="AL21">
        <v>254</v>
      </c>
      <c r="AO21" s="6"/>
      <c r="AP21" s="6"/>
      <c r="AQ21" s="7" t="s">
        <v>14</v>
      </c>
      <c r="AR21">
        <v>237.1429</v>
      </c>
    </row>
    <row r="22" spans="2:44">
      <c r="B22" t="s">
        <v>1</v>
      </c>
      <c r="C22" t="s">
        <v>30</v>
      </c>
      <c r="D22">
        <v>1055</v>
      </c>
      <c r="E22">
        <v>1284</v>
      </c>
      <c r="M22" s="3" t="s">
        <v>16</v>
      </c>
      <c r="N22">
        <v>1</v>
      </c>
      <c r="AI22" t="s">
        <v>15</v>
      </c>
      <c r="AJ22">
        <f t="shared" si="1"/>
        <v>1356</v>
      </c>
      <c r="AK22">
        <v>572</v>
      </c>
      <c r="AL22">
        <v>784</v>
      </c>
      <c r="AO22" s="6"/>
      <c r="AP22" s="6"/>
      <c r="AQ22" s="7" t="s">
        <v>19</v>
      </c>
      <c r="AR22">
        <v>237.1429</v>
      </c>
    </row>
    <row r="23" spans="2:44">
      <c r="B23" t="s">
        <v>20</v>
      </c>
      <c r="C23" t="s">
        <v>31</v>
      </c>
      <c r="D23">
        <v>922</v>
      </c>
      <c r="E23">
        <v>1038</v>
      </c>
      <c r="M23" s="3" t="s">
        <v>6</v>
      </c>
      <c r="N23">
        <v>1</v>
      </c>
      <c r="AG23" t="s">
        <v>22</v>
      </c>
      <c r="AH23">
        <f>AJ23+AJ24</f>
        <v>2515</v>
      </c>
      <c r="AI23" t="s">
        <v>12</v>
      </c>
      <c r="AJ23">
        <f t="shared" si="1"/>
        <v>654</v>
      </c>
      <c r="AK23">
        <v>359</v>
      </c>
      <c r="AL23">
        <v>295</v>
      </c>
      <c r="AO23" s="6"/>
      <c r="AP23" s="6"/>
      <c r="AQ23" s="7" t="s">
        <v>21</v>
      </c>
      <c r="AR23">
        <v>237.1429</v>
      </c>
    </row>
    <row r="24" spans="2:44">
      <c r="B24" t="s">
        <v>22</v>
      </c>
      <c r="C24" t="s">
        <v>32</v>
      </c>
      <c r="D24">
        <v>1331</v>
      </c>
      <c r="E24">
        <v>1184</v>
      </c>
      <c r="M24" s="3" t="s">
        <v>11</v>
      </c>
      <c r="N24">
        <v>1</v>
      </c>
      <c r="AI24" t="s">
        <v>15</v>
      </c>
      <c r="AJ24">
        <f t="shared" si="1"/>
        <v>1861</v>
      </c>
      <c r="AK24">
        <v>972</v>
      </c>
      <c r="AL24">
        <v>889</v>
      </c>
      <c r="AN24">
        <v>4</v>
      </c>
      <c r="AO24" s="6" t="s">
        <v>5</v>
      </c>
      <c r="AP24" s="6">
        <v>2308</v>
      </c>
      <c r="AQ24" s="6" t="s">
        <v>3</v>
      </c>
      <c r="AR24">
        <f>AP24/AN24</f>
        <v>577</v>
      </c>
    </row>
    <row r="25" spans="2:44">
      <c r="B25" t="s">
        <v>13</v>
      </c>
      <c r="C25" t="s">
        <v>33</v>
      </c>
      <c r="D25">
        <v>1344</v>
      </c>
      <c r="E25">
        <v>1057</v>
      </c>
      <c r="M25" s="3" t="s">
        <v>14</v>
      </c>
      <c r="N25">
        <v>1</v>
      </c>
      <c r="AG25" t="s">
        <v>24</v>
      </c>
      <c r="AH25">
        <f>AJ25+AJ26</f>
        <v>1794</v>
      </c>
      <c r="AI25" t="s">
        <v>12</v>
      </c>
      <c r="AJ25">
        <f t="shared" si="1"/>
        <v>1055</v>
      </c>
      <c r="AK25">
        <v>155</v>
      </c>
      <c r="AL25">
        <v>900</v>
      </c>
      <c r="AO25" s="6"/>
      <c r="AP25" s="6"/>
      <c r="AQ25" s="7" t="s">
        <v>16</v>
      </c>
      <c r="AR25">
        <f>AP24/AN24</f>
        <v>577</v>
      </c>
    </row>
    <row r="26" spans="2:44">
      <c r="B26" t="s">
        <v>5</v>
      </c>
      <c r="C26" t="s">
        <v>34</v>
      </c>
      <c r="D26">
        <v>1038</v>
      </c>
      <c r="E26">
        <v>1270</v>
      </c>
      <c r="M26" s="3" t="s">
        <v>21</v>
      </c>
      <c r="N26">
        <v>1</v>
      </c>
      <c r="AI26" t="s">
        <v>15</v>
      </c>
      <c r="AJ26">
        <f t="shared" si="1"/>
        <v>739</v>
      </c>
      <c r="AK26">
        <v>413</v>
      </c>
      <c r="AL26">
        <v>326</v>
      </c>
      <c r="AO26" s="6"/>
      <c r="AP26" s="6"/>
      <c r="AQ26" s="7" t="s">
        <v>6</v>
      </c>
      <c r="AR26">
        <f>AP24/AN24</f>
        <v>577</v>
      </c>
    </row>
    <row r="27" spans="2:44">
      <c r="B27" t="s">
        <v>18</v>
      </c>
      <c r="C27" t="s">
        <v>35</v>
      </c>
      <c r="D27">
        <v>1304</v>
      </c>
      <c r="E27">
        <v>1283</v>
      </c>
      <c r="K27" t="s">
        <v>22</v>
      </c>
      <c r="L27">
        <f>SUM(N27:N33)</f>
        <v>7</v>
      </c>
      <c r="M27" s="3" t="s">
        <v>3</v>
      </c>
      <c r="N27">
        <v>1</v>
      </c>
      <c r="AO27" s="6"/>
      <c r="AP27" s="6"/>
      <c r="AQ27" s="7" t="s">
        <v>11</v>
      </c>
      <c r="AR27">
        <f>AP24/AN24</f>
        <v>577</v>
      </c>
    </row>
    <row r="28" spans="2:44">
      <c r="B28" t="s">
        <v>24</v>
      </c>
      <c r="C28" t="s">
        <v>36</v>
      </c>
      <c r="D28">
        <v>568</v>
      </c>
      <c r="E28">
        <v>239</v>
      </c>
      <c r="M28" s="3" t="s">
        <v>37</v>
      </c>
      <c r="N28">
        <v>1</v>
      </c>
      <c r="AN28">
        <v>5</v>
      </c>
      <c r="AO28" s="6" t="s">
        <v>10</v>
      </c>
      <c r="AP28" s="6">
        <v>1822</v>
      </c>
      <c r="AQ28" s="7" t="s">
        <v>3</v>
      </c>
      <c r="AR28">
        <f>AP28/AN28</f>
        <v>364.4</v>
      </c>
    </row>
    <row r="29" spans="3:44">
      <c r="C29" t="s">
        <v>7</v>
      </c>
      <c r="D29">
        <f>SUM(D20:D28)</f>
        <v>8004</v>
      </c>
      <c r="E29">
        <f>SUM(E20:E28)</f>
        <v>8986</v>
      </c>
      <c r="F29" s="2">
        <f>D29+E29</f>
        <v>16990</v>
      </c>
      <c r="M29" s="3" t="s">
        <v>16</v>
      </c>
      <c r="N29">
        <v>1</v>
      </c>
      <c r="AO29" s="6"/>
      <c r="AP29" s="6"/>
      <c r="AQ29" s="7" t="s">
        <v>37</v>
      </c>
      <c r="AR29">
        <f>AP28/AN28</f>
        <v>364.4</v>
      </c>
    </row>
    <row r="30" spans="13:44">
      <c r="M30" s="3" t="s">
        <v>6</v>
      </c>
      <c r="N30">
        <v>1</v>
      </c>
      <c r="AO30" s="6"/>
      <c r="AP30" s="6"/>
      <c r="AQ30" s="7" t="s">
        <v>4</v>
      </c>
      <c r="AR30">
        <f>AP28/AN28</f>
        <v>364.4</v>
      </c>
    </row>
    <row r="31" spans="13:44">
      <c r="M31" s="3" t="s">
        <v>23</v>
      </c>
      <c r="N31">
        <v>1</v>
      </c>
      <c r="AO31" s="6"/>
      <c r="AP31" s="6"/>
      <c r="AQ31" s="7" t="s">
        <v>38</v>
      </c>
      <c r="AR31">
        <f>AP28/AN28</f>
        <v>364.4</v>
      </c>
    </row>
    <row r="32" spans="13:44">
      <c r="M32" s="3" t="s">
        <v>19</v>
      </c>
      <c r="N32">
        <v>1</v>
      </c>
      <c r="AO32" s="6"/>
      <c r="AP32" s="6"/>
      <c r="AQ32" s="7" t="s">
        <v>25</v>
      </c>
      <c r="AR32">
        <f>AP28/AN28</f>
        <v>364.4</v>
      </c>
    </row>
    <row r="33" spans="7:44">
      <c r="G33" t="s">
        <v>7</v>
      </c>
      <c r="H33" t="s">
        <v>8</v>
      </c>
      <c r="I33" t="s">
        <v>9</v>
      </c>
      <c r="M33" s="3" t="s">
        <v>25</v>
      </c>
      <c r="N33">
        <v>1</v>
      </c>
      <c r="AN33">
        <v>5</v>
      </c>
      <c r="AO33" s="6" t="s">
        <v>13</v>
      </c>
      <c r="AP33" s="6">
        <v>2401</v>
      </c>
      <c r="AQ33" s="7" t="s">
        <v>3</v>
      </c>
      <c r="AR33">
        <f>AP33/AN33</f>
        <v>480.2</v>
      </c>
    </row>
    <row r="34" spans="2:44">
      <c r="B34" s="1" t="s">
        <v>0</v>
      </c>
      <c r="C34">
        <f>E34+E36+E38+E40+E42</f>
        <v>9025</v>
      </c>
      <c r="D34" t="s">
        <v>1</v>
      </c>
      <c r="E34">
        <f>G34+G35</f>
        <v>2339</v>
      </c>
      <c r="F34" t="s">
        <v>12</v>
      </c>
      <c r="G34">
        <f>H34+I34</f>
        <v>597</v>
      </c>
      <c r="H34">
        <v>284</v>
      </c>
      <c r="I34">
        <v>313</v>
      </c>
      <c r="K34" t="s">
        <v>13</v>
      </c>
      <c r="L34">
        <f>SUM(N34:N38)</f>
        <v>5</v>
      </c>
      <c r="M34" s="3" t="s">
        <v>3</v>
      </c>
      <c r="N34">
        <v>1</v>
      </c>
      <c r="AO34" s="4"/>
      <c r="AP34" s="6"/>
      <c r="AQ34" s="7" t="s">
        <v>37</v>
      </c>
      <c r="AR34">
        <f>AP33/AN33</f>
        <v>480.2</v>
      </c>
    </row>
    <row r="35" spans="2:44">
      <c r="B35" s="1"/>
      <c r="F35" t="s">
        <v>15</v>
      </c>
      <c r="G35">
        <f t="shared" ref="G35:G51" si="2">H35+I35</f>
        <v>1742</v>
      </c>
      <c r="H35">
        <v>771</v>
      </c>
      <c r="I35">
        <v>971</v>
      </c>
      <c r="K35" s="4"/>
      <c r="M35" s="3" t="s">
        <v>37</v>
      </c>
      <c r="N35">
        <v>1</v>
      </c>
      <c r="AO35" s="6"/>
      <c r="AP35" s="6"/>
      <c r="AQ35" s="7" t="s">
        <v>4</v>
      </c>
      <c r="AR35">
        <f>AP33/AN33</f>
        <v>480.2</v>
      </c>
    </row>
    <row r="36" spans="2:44">
      <c r="B36" s="1"/>
      <c r="D36" t="s">
        <v>2</v>
      </c>
      <c r="E36">
        <f>G36+G37</f>
        <v>1660</v>
      </c>
      <c r="F36" t="s">
        <v>12</v>
      </c>
      <c r="G36">
        <f t="shared" si="2"/>
        <v>414</v>
      </c>
      <c r="H36">
        <v>99</v>
      </c>
      <c r="I36">
        <v>315</v>
      </c>
      <c r="M36" s="3" t="s">
        <v>4</v>
      </c>
      <c r="N36">
        <v>1</v>
      </c>
      <c r="AO36" s="6"/>
      <c r="AP36" s="6"/>
      <c r="AQ36" s="7" t="s">
        <v>21</v>
      </c>
      <c r="AR36">
        <f>AP33/AN33</f>
        <v>480.2</v>
      </c>
    </row>
    <row r="37" spans="2:44">
      <c r="B37" s="1"/>
      <c r="F37" t="s">
        <v>15</v>
      </c>
      <c r="G37">
        <f t="shared" si="2"/>
        <v>1246</v>
      </c>
      <c r="H37">
        <v>265</v>
      </c>
      <c r="I37">
        <v>981</v>
      </c>
      <c r="M37" s="3" t="s">
        <v>21</v>
      </c>
      <c r="N37">
        <v>1</v>
      </c>
      <c r="AO37" s="6"/>
      <c r="AP37" s="6"/>
      <c r="AQ37" s="7" t="s">
        <v>38</v>
      </c>
      <c r="AR37">
        <f>AP33/AN33</f>
        <v>480.2</v>
      </c>
    </row>
    <row r="38" spans="2:44">
      <c r="B38" s="1"/>
      <c r="D38" t="s">
        <v>5</v>
      </c>
      <c r="E38">
        <f>G38+G39</f>
        <v>2308</v>
      </c>
      <c r="F38" t="s">
        <v>12</v>
      </c>
      <c r="G38">
        <f t="shared" si="2"/>
        <v>604</v>
      </c>
      <c r="H38">
        <v>287</v>
      </c>
      <c r="I38">
        <v>317</v>
      </c>
      <c r="M38" s="3" t="s">
        <v>38</v>
      </c>
      <c r="N38">
        <v>1</v>
      </c>
      <c r="AN38">
        <v>7</v>
      </c>
      <c r="AO38" s="6" t="s">
        <v>18</v>
      </c>
      <c r="AP38" s="6">
        <v>2587</v>
      </c>
      <c r="AQ38" s="7" t="s">
        <v>3</v>
      </c>
      <c r="AR38">
        <f>AP38/AN38</f>
        <v>369.571428571429</v>
      </c>
    </row>
    <row r="39" spans="2:44">
      <c r="B39" s="1"/>
      <c r="F39" t="s">
        <v>15</v>
      </c>
      <c r="G39">
        <f t="shared" si="2"/>
        <v>1704</v>
      </c>
      <c r="H39">
        <v>751</v>
      </c>
      <c r="I39">
        <v>953</v>
      </c>
      <c r="K39" t="s">
        <v>18</v>
      </c>
      <c r="L39">
        <f>SUM(N39:N45)</f>
        <v>7</v>
      </c>
      <c r="M39" s="3" t="s">
        <v>3</v>
      </c>
      <c r="N39">
        <v>1</v>
      </c>
      <c r="AO39" s="6"/>
      <c r="AP39" s="6"/>
      <c r="AQ39" s="6" t="s">
        <v>16</v>
      </c>
      <c r="AR39">
        <f>AP38/AN38</f>
        <v>369.571428571429</v>
      </c>
    </row>
    <row r="40" spans="2:44">
      <c r="B40" s="1"/>
      <c r="D40" t="s">
        <v>10</v>
      </c>
      <c r="E40">
        <f>G40+G41</f>
        <v>317</v>
      </c>
      <c r="F40" t="s">
        <v>12</v>
      </c>
      <c r="G40">
        <f t="shared" si="2"/>
        <v>126</v>
      </c>
      <c r="H40">
        <v>19</v>
      </c>
      <c r="I40">
        <v>107</v>
      </c>
      <c r="M40" t="s">
        <v>16</v>
      </c>
      <c r="N40">
        <v>1</v>
      </c>
      <c r="AO40" s="6"/>
      <c r="AP40" s="6"/>
      <c r="AQ40" s="6" t="s">
        <v>4</v>
      </c>
      <c r="AR40">
        <f>AP38/AN38</f>
        <v>369.571428571429</v>
      </c>
    </row>
    <row r="41" spans="2:44">
      <c r="B41" s="1"/>
      <c r="F41" t="s">
        <v>15</v>
      </c>
      <c r="G41">
        <f t="shared" si="2"/>
        <v>191</v>
      </c>
      <c r="H41">
        <v>59</v>
      </c>
      <c r="I41">
        <v>132</v>
      </c>
      <c r="M41" t="s">
        <v>4</v>
      </c>
      <c r="N41">
        <v>1</v>
      </c>
      <c r="AO41" s="6"/>
      <c r="AP41" s="6"/>
      <c r="AQ41" s="7" t="s">
        <v>6</v>
      </c>
      <c r="AR41">
        <f>AP38/AN38</f>
        <v>369.571428571429</v>
      </c>
    </row>
    <row r="42" spans="2:44">
      <c r="B42" s="1"/>
      <c r="D42" t="s">
        <v>13</v>
      </c>
      <c r="E42">
        <f>G42+G43</f>
        <v>2401</v>
      </c>
      <c r="F42" t="s">
        <v>12</v>
      </c>
      <c r="G42">
        <f t="shared" si="2"/>
        <v>634</v>
      </c>
      <c r="H42">
        <v>358</v>
      </c>
      <c r="I42">
        <v>276</v>
      </c>
      <c r="M42" s="3" t="s">
        <v>6</v>
      </c>
      <c r="N42">
        <v>1</v>
      </c>
      <c r="AO42" s="6"/>
      <c r="AP42" s="6"/>
      <c r="AQ42" s="4" t="s">
        <v>23</v>
      </c>
      <c r="AR42">
        <f>AP38/AN38</f>
        <v>369.571428571429</v>
      </c>
    </row>
    <row r="43" spans="2:44">
      <c r="B43" s="1"/>
      <c r="F43" t="s">
        <v>15</v>
      </c>
      <c r="G43">
        <f t="shared" si="2"/>
        <v>1767</v>
      </c>
      <c r="H43">
        <v>986</v>
      </c>
      <c r="I43">
        <v>781</v>
      </c>
      <c r="M43" s="4" t="s">
        <v>23</v>
      </c>
      <c r="N43">
        <v>1</v>
      </c>
      <c r="AO43" s="6"/>
      <c r="AP43" s="6"/>
      <c r="AQ43" s="7" t="s">
        <v>19</v>
      </c>
      <c r="AR43">
        <f>AP38/AN38</f>
        <v>369.571428571429</v>
      </c>
    </row>
    <row r="44" spans="2:44">
      <c r="B44" t="s">
        <v>17</v>
      </c>
      <c r="C44">
        <f>E44+E46+E48+E50</f>
        <v>7965</v>
      </c>
      <c r="D44" t="s">
        <v>18</v>
      </c>
      <c r="E44">
        <f>G44+G45</f>
        <v>2587</v>
      </c>
      <c r="F44" t="s">
        <v>12</v>
      </c>
      <c r="G44">
        <f t="shared" si="2"/>
        <v>668</v>
      </c>
      <c r="H44">
        <v>355</v>
      </c>
      <c r="I44">
        <v>313</v>
      </c>
      <c r="M44" s="3" t="s">
        <v>19</v>
      </c>
      <c r="N44">
        <v>1</v>
      </c>
      <c r="AO44" s="6"/>
      <c r="AP44" s="6"/>
      <c r="AQ44" s="7" t="s">
        <v>25</v>
      </c>
      <c r="AR44">
        <f>AP38/AN38</f>
        <v>369.571428571429</v>
      </c>
    </row>
    <row r="45" spans="6:44">
      <c r="F45" t="s">
        <v>15</v>
      </c>
      <c r="G45">
        <f t="shared" si="2"/>
        <v>1919</v>
      </c>
      <c r="H45">
        <v>949</v>
      </c>
      <c r="I45">
        <v>970</v>
      </c>
      <c r="M45" s="3" t="s">
        <v>25</v>
      </c>
      <c r="N45">
        <v>1</v>
      </c>
      <c r="AN45">
        <v>6</v>
      </c>
      <c r="AO45" s="6" t="s">
        <v>20</v>
      </c>
      <c r="AP45" s="6">
        <v>1960</v>
      </c>
      <c r="AQ45" s="7" t="s">
        <v>3</v>
      </c>
      <c r="AR45">
        <f>AP45/AN45</f>
        <v>326.666666666667</v>
      </c>
    </row>
    <row r="46" spans="4:44">
      <c r="D46" t="s">
        <v>20</v>
      </c>
      <c r="E46">
        <f>G46+G47</f>
        <v>1960</v>
      </c>
      <c r="F46" t="s">
        <v>12</v>
      </c>
      <c r="G46">
        <f t="shared" si="2"/>
        <v>604</v>
      </c>
      <c r="H46">
        <v>350</v>
      </c>
      <c r="I46">
        <v>254</v>
      </c>
      <c r="K46" t="s">
        <v>24</v>
      </c>
      <c r="L46">
        <f>SUM(N46:N48)</f>
        <v>3</v>
      </c>
      <c r="M46" s="3" t="s">
        <v>3</v>
      </c>
      <c r="N46">
        <v>1</v>
      </c>
      <c r="AO46" s="6"/>
      <c r="AP46" s="6"/>
      <c r="AQ46" s="7" t="s">
        <v>16</v>
      </c>
      <c r="AR46">
        <v>326.6667</v>
      </c>
    </row>
    <row r="47" spans="6:44">
      <c r="F47" t="s">
        <v>15</v>
      </c>
      <c r="G47">
        <f t="shared" si="2"/>
        <v>1356</v>
      </c>
      <c r="H47">
        <v>572</v>
      </c>
      <c r="I47">
        <v>784</v>
      </c>
      <c r="M47" s="3" t="s">
        <v>4</v>
      </c>
      <c r="N47">
        <v>1</v>
      </c>
      <c r="AO47" s="6"/>
      <c r="AP47" s="6"/>
      <c r="AQ47" s="7" t="s">
        <v>6</v>
      </c>
      <c r="AR47">
        <v>326.6667</v>
      </c>
    </row>
    <row r="48" spans="4:44">
      <c r="D48" t="s">
        <v>22</v>
      </c>
      <c r="E48">
        <f>G48+G49</f>
        <v>2515</v>
      </c>
      <c r="F48" t="s">
        <v>12</v>
      </c>
      <c r="G48">
        <f t="shared" si="2"/>
        <v>654</v>
      </c>
      <c r="H48">
        <v>359</v>
      </c>
      <c r="I48">
        <v>295</v>
      </c>
      <c r="M48" s="3" t="s">
        <v>38</v>
      </c>
      <c r="N48">
        <v>1</v>
      </c>
      <c r="AO48" s="6"/>
      <c r="AP48" s="6"/>
      <c r="AQ48" s="7" t="s">
        <v>11</v>
      </c>
      <c r="AR48">
        <v>326.6667</v>
      </c>
    </row>
    <row r="49" spans="6:44">
      <c r="F49" t="s">
        <v>15</v>
      </c>
      <c r="G49">
        <f t="shared" si="2"/>
        <v>1861</v>
      </c>
      <c r="H49">
        <v>972</v>
      </c>
      <c r="I49">
        <v>889</v>
      </c>
      <c r="K49" t="s">
        <v>10</v>
      </c>
      <c r="L49">
        <f>SUM(N49:N53)</f>
        <v>5</v>
      </c>
      <c r="M49" s="3" t="s">
        <v>3</v>
      </c>
      <c r="N49">
        <v>1</v>
      </c>
      <c r="AO49" s="6"/>
      <c r="AP49" s="6"/>
      <c r="AQ49" s="7" t="s">
        <v>14</v>
      </c>
      <c r="AR49">
        <v>326.6667</v>
      </c>
    </row>
    <row r="50" spans="4:44">
      <c r="D50" t="s">
        <v>24</v>
      </c>
      <c r="E50">
        <f>G50+G51</f>
        <v>903</v>
      </c>
      <c r="F50" t="s">
        <v>12</v>
      </c>
      <c r="G50">
        <f t="shared" si="2"/>
        <v>164</v>
      </c>
      <c r="H50">
        <v>155</v>
      </c>
      <c r="I50">
        <v>9</v>
      </c>
      <c r="M50" s="3" t="s">
        <v>37</v>
      </c>
      <c r="N50">
        <v>1</v>
      </c>
      <c r="AO50" s="6"/>
      <c r="AP50" s="6"/>
      <c r="AQ50" s="7" t="s">
        <v>21</v>
      </c>
      <c r="AR50">
        <v>326.6667</v>
      </c>
    </row>
    <row r="51" spans="2:44">
      <c r="B51" t="s">
        <v>7</v>
      </c>
      <c r="C51" s="2">
        <f>C34+C44</f>
        <v>16990</v>
      </c>
      <c r="F51" t="s">
        <v>15</v>
      </c>
      <c r="G51">
        <f t="shared" si="2"/>
        <v>739</v>
      </c>
      <c r="H51">
        <v>413</v>
      </c>
      <c r="I51">
        <v>326</v>
      </c>
      <c r="M51" s="3" t="s">
        <v>4</v>
      </c>
      <c r="N51">
        <v>1</v>
      </c>
      <c r="AN51">
        <v>7</v>
      </c>
      <c r="AO51" s="6" t="s">
        <v>22</v>
      </c>
      <c r="AP51" s="6">
        <v>2515</v>
      </c>
      <c r="AQ51" s="7" t="s">
        <v>3</v>
      </c>
      <c r="AR51">
        <f>AP51/AN51</f>
        <v>359.285714285714</v>
      </c>
    </row>
    <row r="52" spans="13:44">
      <c r="M52" s="3" t="s">
        <v>38</v>
      </c>
      <c r="N52">
        <v>1</v>
      </c>
      <c r="AO52" s="6"/>
      <c r="AP52" s="6"/>
      <c r="AQ52" s="7" t="s">
        <v>37</v>
      </c>
      <c r="AR52">
        <f>AP51/AN51</f>
        <v>359.285714285714</v>
      </c>
    </row>
    <row r="53" spans="13:44">
      <c r="M53" s="3" t="s">
        <v>25</v>
      </c>
      <c r="N53">
        <v>1</v>
      </c>
      <c r="AO53" s="6"/>
      <c r="AP53" s="6"/>
      <c r="AQ53" s="7" t="s">
        <v>16</v>
      </c>
      <c r="AR53">
        <f>AP51/AN51</f>
        <v>359.285714285714</v>
      </c>
    </row>
    <row r="54" spans="11:44">
      <c r="K54" t="s">
        <v>5</v>
      </c>
      <c r="L54">
        <f>SUM(N54:N57)</f>
        <v>4</v>
      </c>
      <c r="M54" t="s">
        <v>3</v>
      </c>
      <c r="N54">
        <v>1</v>
      </c>
      <c r="AO54" s="6"/>
      <c r="AP54" s="6"/>
      <c r="AQ54" s="7" t="s">
        <v>6</v>
      </c>
      <c r="AR54">
        <f>AP51/AN51</f>
        <v>359.285714285714</v>
      </c>
    </row>
    <row r="55" spans="13:44">
      <c r="M55" s="3" t="s">
        <v>16</v>
      </c>
      <c r="N55">
        <v>1</v>
      </c>
      <c r="AO55" s="6"/>
      <c r="AP55" s="6"/>
      <c r="AQ55" s="7" t="s">
        <v>23</v>
      </c>
      <c r="AR55">
        <f>AP51/AN51</f>
        <v>359.285714285714</v>
      </c>
    </row>
    <row r="56" spans="13:44">
      <c r="M56" s="3" t="s">
        <v>6</v>
      </c>
      <c r="N56">
        <v>1</v>
      </c>
      <c r="AO56" s="6"/>
      <c r="AP56" s="6"/>
      <c r="AQ56" s="7" t="s">
        <v>19</v>
      </c>
      <c r="AR56">
        <f>AP51/AN51</f>
        <v>359.285714285714</v>
      </c>
    </row>
    <row r="57" spans="13:44">
      <c r="M57" s="3" t="s">
        <v>11</v>
      </c>
      <c r="N57">
        <v>1</v>
      </c>
      <c r="AO57" s="6"/>
      <c r="AP57" s="6"/>
      <c r="AQ57" s="7" t="s">
        <v>25</v>
      </c>
      <c r="AR57">
        <f>AP51/AN51</f>
        <v>359.285714285714</v>
      </c>
    </row>
    <row r="58" spans="12:44">
      <c r="L58" s="3"/>
      <c r="AN58">
        <v>3</v>
      </c>
      <c r="AO58" s="6" t="s">
        <v>24</v>
      </c>
      <c r="AP58" s="6">
        <v>1794</v>
      </c>
      <c r="AQ58" s="7" t="s">
        <v>3</v>
      </c>
      <c r="AR58">
        <f>AP58/AN58</f>
        <v>598</v>
      </c>
    </row>
    <row r="59" spans="12:44">
      <c r="L59" s="3"/>
      <c r="AO59" s="6"/>
      <c r="AP59" s="6"/>
      <c r="AQ59" s="7" t="s">
        <v>4</v>
      </c>
      <c r="AR59">
        <f>AP58/AN58</f>
        <v>598</v>
      </c>
    </row>
    <row r="60" spans="12:44">
      <c r="L60" s="3"/>
      <c r="AO60" s="6"/>
      <c r="AP60" s="6"/>
      <c r="AQ60" s="7" t="s">
        <v>38</v>
      </c>
      <c r="AR60">
        <f>AP58/AN58</f>
        <v>598</v>
      </c>
    </row>
    <row r="61" spans="12:12">
      <c r="L61" s="3"/>
    </row>
    <row r="63" spans="12:12">
      <c r="L63" s="5"/>
    </row>
    <row r="64" spans="12:12">
      <c r="L64" s="5"/>
    </row>
    <row r="73" spans="4:4">
      <c r="D73" s="5"/>
    </row>
    <row r="74" spans="4:4">
      <c r="D74" s="5"/>
    </row>
    <row r="75" spans="4:42">
      <c r="D75" s="5"/>
      <c r="AO75" s="6" t="s">
        <v>39</v>
      </c>
      <c r="AP75">
        <v>7</v>
      </c>
    </row>
    <row r="76" spans="4:42">
      <c r="D76" s="5"/>
      <c r="AO76" s="6" t="s">
        <v>40</v>
      </c>
      <c r="AP76">
        <v>2.5</v>
      </c>
    </row>
    <row r="77" spans="4:42">
      <c r="D77" s="5"/>
      <c r="AO77" s="6" t="s">
        <v>41</v>
      </c>
      <c r="AP77">
        <v>0.7</v>
      </c>
    </row>
    <row r="78" spans="4:42">
      <c r="D78" s="5"/>
      <c r="AO78" s="6" t="s">
        <v>42</v>
      </c>
      <c r="AP78">
        <v>1</v>
      </c>
    </row>
    <row r="79" spans="4:4">
      <c r="D79" s="5"/>
    </row>
    <row r="80" spans="4:4">
      <c r="D80" s="5"/>
    </row>
    <row r="81" spans="4:4">
      <c r="D81" s="5"/>
    </row>
    <row r="82" spans="4:4">
      <c r="D82" s="5"/>
    </row>
    <row r="83" spans="4:4">
      <c r="D83" s="5"/>
    </row>
    <row r="84" spans="4:4">
      <c r="D84" s="5"/>
    </row>
    <row r="100" spans="40:40">
      <c r="AN100" s="6"/>
    </row>
    <row r="101" spans="40:40">
      <c r="AN101" s="6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liang</dc:creator>
  <cp:lastModifiedBy>骆潇尧</cp:lastModifiedBy>
  <dcterms:created xsi:type="dcterms:W3CDTF">2025-05-08T17:50:00Z</dcterms:created>
  <dcterms:modified xsi:type="dcterms:W3CDTF">2025-05-18T15:07:33Z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961F724A8BB0444EA3BA6B9E733A51BC_12</vt:lpwstr>
  </property>
  <property fmtid="{D5CDD505-2E9C-101B-9397-08002B2CF9AE}" pid="3" name="KSOProductBuildVer">
    <vt:lpwstr>2052-12.1.0.21171</vt:lpwstr>
  </property>
</Properties>
</file>